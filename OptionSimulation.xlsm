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8B6715AD-75A4-4B3D-84DA-E21E1EC2ACBD}" xr6:coauthVersionLast="46" xr6:coauthVersionMax="46" xr10:uidLastSave="{00000000-0000-0000-0000-000000000000}"/>
  <bookViews>
    <workbookView xWindow="510" yWindow="-210" windowWidth="37110" windowHeight="20520" xr2:uid="{00000000-000D-0000-FFFF-FFFF00000000}"/>
  </bookViews>
  <sheets>
    <sheet name="NKYOption" sheetId="2" r:id="rId1"/>
    <sheet name="解説" sheetId="5" r:id="rId2"/>
    <sheet name="shTemp" sheetId="4" state="hidden" r:id="rId3"/>
  </sheets>
  <functionGroups builtInGroupCount="19"/>
  <definedNames>
    <definedName name="ChangeParam">NKYOption!$S$23</definedName>
    <definedName name="ChangeRange">NKYOption!$S$24</definedName>
    <definedName name="EqArea">NKYOption!$B$5:$S$20</definedName>
    <definedName name="eqDataRange">NKYOption!$B$10:$S$20</definedName>
    <definedName name="eToday">NKYOption!$E$5</definedName>
    <definedName name="graphDataArea">NKYOption!$R$28:$S$48</definedName>
    <definedName name="IndexPrice">NKYOption!$E$6</definedName>
    <definedName name="input">NKYOption!$R$28:$R$48</definedName>
    <definedName name="InputParamArea">NKYOption!$U$23:$W$23</definedName>
    <definedName name="Int">NKYOption!$G$5</definedName>
    <definedName name="outParamArea">NKYOption!$U$25:$Y$25</definedName>
    <definedName name="output">NKYOption!$S$28:$S$48</definedName>
    <definedName name="OutputParam">NKYOption!$S$25</definedName>
    <definedName name="_xlnm.Print_Area" localSheetId="0">NKYOption!$A$4:$Z$46</definedName>
    <definedName name="volaRange">NKYOption!$D$10:$D$20</definedName>
    <definedName name="xTitle">NKYOption!$R$27</definedName>
    <definedName name="YenDelta">NKYOption!$I$24</definedName>
    <definedName name="YenGamma">NKYOption!$L$24</definedName>
    <definedName name="YenPL">NKYOption!$G$24</definedName>
    <definedName name="YenTheta">NKYOption!$N$24</definedName>
    <definedName name="YenVega">NKYOption!$M$24</definedName>
    <definedName name="yTitle">NKYOption!$S$27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2" l="1"/>
  <c r="I23" i="2"/>
  <c r="I24" i="2" s="1"/>
  <c r="N23" i="2"/>
  <c r="N24" i="2" s="1"/>
  <c r="M23" i="2"/>
  <c r="M24" i="2" s="1"/>
  <c r="L23" i="2"/>
  <c r="L24" i="2" s="1"/>
</calcChain>
</file>

<file path=xl/sharedStrings.xml><?xml version="1.0" encoding="utf-8"?>
<sst xmlns="http://schemas.openxmlformats.org/spreadsheetml/2006/main" count="94" uniqueCount="82">
  <si>
    <t>Delta</t>
    <phoneticPr fontId="8"/>
  </si>
  <si>
    <t>Gamma</t>
    <phoneticPr fontId="8"/>
  </si>
  <si>
    <t>Vega</t>
    <phoneticPr fontId="8"/>
  </si>
  <si>
    <t>Theta</t>
    <phoneticPr fontId="8"/>
  </si>
  <si>
    <t>Price</t>
    <phoneticPr fontId="8"/>
  </si>
  <si>
    <t>Delta</t>
    <phoneticPr fontId="8"/>
  </si>
  <si>
    <t>Gamma</t>
    <phoneticPr fontId="8"/>
  </si>
  <si>
    <t>Vega</t>
    <phoneticPr fontId="8"/>
  </si>
  <si>
    <t>Theta</t>
    <phoneticPr fontId="8"/>
  </si>
  <si>
    <t>PL</t>
    <phoneticPr fontId="8"/>
  </si>
  <si>
    <t>NKY 9 P20500</t>
    <phoneticPr fontId="8"/>
  </si>
  <si>
    <t>ESU9C 3050</t>
    <phoneticPr fontId="8"/>
  </si>
  <si>
    <t>ESU9C 3020</t>
    <phoneticPr fontId="8"/>
  </si>
  <si>
    <t>ES1909</t>
    <phoneticPr fontId="8"/>
  </si>
  <si>
    <t>TYV9C 138.00</t>
    <phoneticPr fontId="8"/>
  </si>
  <si>
    <t>TYV9C 137.00</t>
    <phoneticPr fontId="8"/>
  </si>
  <si>
    <t>TYV9C 136.50</t>
    <phoneticPr fontId="8"/>
  </si>
  <si>
    <t>TYV9C 136.00</t>
    <phoneticPr fontId="8"/>
  </si>
  <si>
    <t>TYV9C 135.00</t>
    <phoneticPr fontId="8"/>
  </si>
  <si>
    <t>TYV9C 134.00</t>
    <phoneticPr fontId="8"/>
  </si>
  <si>
    <t>TY1912</t>
    <phoneticPr fontId="8"/>
  </si>
  <si>
    <t>NKY 9 C21000</t>
    <phoneticPr fontId="8"/>
  </si>
  <si>
    <t>NKY 9 P19250</t>
    <phoneticPr fontId="8"/>
  </si>
  <si>
    <t>NKY 9 P19500</t>
    <phoneticPr fontId="8"/>
  </si>
  <si>
    <t>NKY 9 P19750</t>
    <phoneticPr fontId="8"/>
  </si>
  <si>
    <t>NKY 9 P20000</t>
    <phoneticPr fontId="8"/>
  </si>
  <si>
    <t>NKY 9 P20250</t>
    <phoneticPr fontId="8"/>
  </si>
  <si>
    <t>NKY 9 P20375</t>
    <phoneticPr fontId="8"/>
  </si>
  <si>
    <t>NOU9</t>
    <phoneticPr fontId="8"/>
  </si>
  <si>
    <t>NKY 5 P17000</t>
    <phoneticPr fontId="8"/>
  </si>
  <si>
    <t>枚数</t>
    <rPh sb="0" eb="2">
      <t>マイスウ</t>
    </rPh>
    <phoneticPr fontId="8"/>
  </si>
  <si>
    <t>ティッカー</t>
    <phoneticPr fontId="8"/>
  </si>
  <si>
    <t>コスト</t>
    <phoneticPr fontId="8"/>
  </si>
  <si>
    <t>損益</t>
    <rPh sb="0" eb="2">
      <t>ソンエキ</t>
    </rPh>
    <phoneticPr fontId="8"/>
  </si>
  <si>
    <t>基準日</t>
    <rPh sb="0" eb="3">
      <t>キジュンビ</t>
    </rPh>
    <phoneticPr fontId="8"/>
  </si>
  <si>
    <t>日経平均</t>
    <rPh sb="0" eb="2">
      <t>ニッケイ</t>
    </rPh>
    <rPh sb="2" eb="4">
      <t>ヘイキン</t>
    </rPh>
    <phoneticPr fontId="8"/>
  </si>
  <si>
    <t>短期金利</t>
    <rPh sb="0" eb="2">
      <t>タンキ</t>
    </rPh>
    <rPh sb="2" eb="4">
      <t>キンリ</t>
    </rPh>
    <phoneticPr fontId="8"/>
  </si>
  <si>
    <t>サマリ</t>
    <phoneticPr fontId="8"/>
  </si>
  <si>
    <t>変化させるパラメータ</t>
    <rPh sb="0" eb="2">
      <t>ヘンカ</t>
    </rPh>
    <phoneticPr fontId="8"/>
  </si>
  <si>
    <t>変化させるパーセンテージ</t>
    <rPh sb="0" eb="2">
      <t>ヘンカ</t>
    </rPh>
    <phoneticPr fontId="8"/>
  </si>
  <si>
    <t>NKY 2 P29000</t>
    <phoneticPr fontId="8"/>
  </si>
  <si>
    <t>枚数ベース</t>
    <rPh sb="0" eb="2">
      <t>マイスウ</t>
    </rPh>
    <phoneticPr fontId="8"/>
  </si>
  <si>
    <t>金額ベース</t>
    <rPh sb="0" eb="2">
      <t>キンガク</t>
    </rPh>
    <phoneticPr fontId="8"/>
  </si>
  <si>
    <t>ベガ
（千円）</t>
    <rPh sb="4" eb="6">
      <t>センエン</t>
    </rPh>
    <phoneticPr fontId="8"/>
  </si>
  <si>
    <t>期日</t>
    <rPh sb="0" eb="2">
      <t>キジツ</t>
    </rPh>
    <phoneticPr fontId="8"/>
  </si>
  <si>
    <t>（千円）</t>
    <rPh sb="1" eb="3">
      <t>センエン</t>
    </rPh>
    <phoneticPr fontId="8"/>
  </si>
  <si>
    <t>損益
（千円）</t>
    <rPh sb="0" eb="2">
      <t>ソンエキ</t>
    </rPh>
    <rPh sb="4" eb="6">
      <t>センエン</t>
    </rPh>
    <phoneticPr fontId="8"/>
  </si>
  <si>
    <t>セータ
（千円）</t>
    <rPh sb="5" eb="7">
      <t>センエン</t>
    </rPh>
    <phoneticPr fontId="8"/>
  </si>
  <si>
    <t>ボラ</t>
    <phoneticPr fontId="8"/>
  </si>
  <si>
    <t>原資産</t>
    <rPh sb="0" eb="3">
      <t>ゲンシサン</t>
    </rPh>
    <phoneticPr fontId="8"/>
  </si>
  <si>
    <t>日付</t>
    <rPh sb="0" eb="2">
      <t>ヒヅケ</t>
    </rPh>
    <phoneticPr fontId="8"/>
  </si>
  <si>
    <t>2021/02/12</t>
  </si>
  <si>
    <t>NKY 2 C29000</t>
  </si>
  <si>
    <t>NKY</t>
  </si>
  <si>
    <t>ﾃﾞﾙﾀ
（枚数・百万）</t>
    <rPh sb="6" eb="8">
      <t>マイスウ</t>
    </rPh>
    <rPh sb="9" eb="10">
      <t>ヒャク</t>
    </rPh>
    <rPh sb="10" eb="11">
      <t>マン</t>
    </rPh>
    <phoneticPr fontId="8"/>
  </si>
  <si>
    <t>ｶﾞﾝﾏ
（枚数・百万）</t>
    <rPh sb="6" eb="8">
      <t>マイスウ</t>
    </rPh>
    <rPh sb="9" eb="11">
      <t>ヒャクマン</t>
    </rPh>
    <phoneticPr fontId="8"/>
  </si>
  <si>
    <t>ﾃﾞﾙﾀ（枚数）</t>
    <rPh sb="5" eb="7">
      <t>マイスウ</t>
    </rPh>
    <phoneticPr fontId="8"/>
  </si>
  <si>
    <t>ｶﾞﾝﾏ（枚数）</t>
    <rPh sb="5" eb="7">
      <t>マイスウ</t>
    </rPh>
    <phoneticPr fontId="8"/>
  </si>
  <si>
    <t>ベガ（千円）</t>
    <rPh sb="3" eb="5">
      <t>センエン</t>
    </rPh>
    <phoneticPr fontId="8"/>
  </si>
  <si>
    <t>セータ（千円）</t>
    <rPh sb="4" eb="6">
      <t>センエン</t>
    </rPh>
    <phoneticPr fontId="8"/>
  </si>
  <si>
    <t>※原資産の変化幅</t>
    <rPh sb="1" eb="4">
      <t>ゲンシサン</t>
    </rPh>
    <rPh sb="5" eb="7">
      <t>ヘンカ</t>
    </rPh>
    <rPh sb="7" eb="8">
      <t>ハバ</t>
    </rPh>
    <phoneticPr fontId="8"/>
  </si>
  <si>
    <t>グラフY軸</t>
    <rPh sb="4" eb="5">
      <t>ジク</t>
    </rPh>
    <phoneticPr fontId="8"/>
  </si>
  <si>
    <t>グラフX軸</t>
    <rPh sb="4" eb="5">
      <t>ジク</t>
    </rPh>
    <phoneticPr fontId="8"/>
  </si>
  <si>
    <t>※ダブルクリック</t>
    <phoneticPr fontId="8"/>
  </si>
  <si>
    <t>　　　　　グラフデータ</t>
    <phoneticPr fontId="8"/>
  </si>
  <si>
    <t>日付</t>
    <phoneticPr fontId="8"/>
  </si>
  <si>
    <t>NKY 2 P28500</t>
    <phoneticPr fontId="8"/>
  </si>
  <si>
    <t>ﾃﾞﾙﾀニュートラル</t>
    <phoneticPr fontId="8"/>
  </si>
  <si>
    <t>　　　　 1枚あたりグリークス</t>
    <rPh sb="6" eb="7">
      <t>マイ</t>
    </rPh>
    <phoneticPr fontId="8"/>
  </si>
  <si>
    <t xml:space="preserve">           　　　　　　　　全体のグリークス</t>
    <rPh sb="19" eb="21">
      <t>ゼンタイ</t>
    </rPh>
    <phoneticPr fontId="8"/>
  </si>
  <si>
    <t>ボラ</t>
  </si>
  <si>
    <t>Vola</t>
    <phoneticPr fontId="8"/>
  </si>
  <si>
    <t>日経オプション ポートフォリオ</t>
    <rPh sb="0" eb="2">
      <t>ニッケイ</t>
    </rPh>
    <phoneticPr fontId="8"/>
  </si>
  <si>
    <t>NKY 2 C29250</t>
    <phoneticPr fontId="8"/>
  </si>
  <si>
    <t>NKY 2 C29750</t>
    <phoneticPr fontId="8"/>
  </si>
  <si>
    <t>NKY 2 P28750</t>
    <phoneticPr fontId="8"/>
  </si>
  <si>
    <t>NKY 2 P28250</t>
    <phoneticPr fontId="8"/>
  </si>
  <si>
    <t>ﾊﾞﾀﾌﾗｲ</t>
    <phoneticPr fontId="8"/>
  </si>
  <si>
    <t>ｽﾄﾗﾄﾞﾙ</t>
    <phoneticPr fontId="8"/>
  </si>
  <si>
    <t>ﾚﾝｼﾞﾌｫﾜｰﾄﾞ下向き</t>
    <phoneticPr fontId="8"/>
  </si>
  <si>
    <t>NKY 2 C28000</t>
    <phoneticPr fontId="8"/>
  </si>
  <si>
    <t>配当(%)</t>
    <rPh sb="0" eb="2">
      <t>ハイトウ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</si>
</sst>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 ;\-0.00_ ;"/>
    <numFmt numFmtId="177" formatCode="#,##0.0;[Red]\-#,##0.0"/>
    <numFmt numFmtId="178" formatCode="0.0_ ;\-0.0_ ;"/>
    <numFmt numFmtId="179" formatCode="yy/mm/dd"/>
    <numFmt numFmtId="180" formatCode="0.0;[Red]\▲0.0"/>
    <numFmt numFmtId="181" formatCode="#,##0;[Red]\▲#,##0"/>
    <numFmt numFmtId="182" formatCode="yy/m/d"/>
    <numFmt numFmtId="183" formatCode="0.0%_ "/>
    <numFmt numFmtId="184" formatCode="0;[Red]\▲0"/>
  </numFmts>
  <fonts count="3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i/>
      <sz val="14"/>
      <color indexed="24"/>
      <name val="Times New Roman"/>
      <family val="1"/>
    </font>
    <font>
      <b/>
      <i/>
      <sz val="14"/>
      <color indexed="58"/>
      <name val="Times New Roman"/>
      <family val="1"/>
    </font>
    <font>
      <b/>
      <i/>
      <sz val="12"/>
      <color indexed="58"/>
      <name val="Times New Roman"/>
      <family val="1"/>
    </font>
    <font>
      <b/>
      <i/>
      <sz val="18"/>
      <color indexed="21"/>
      <name val="Times New Roman"/>
      <family val="1"/>
    </font>
    <font>
      <b/>
      <i/>
      <sz val="11"/>
      <color indexed="30"/>
      <name val="Times New Roman"/>
      <family val="1"/>
    </font>
    <font>
      <b/>
      <i/>
      <sz val="12"/>
      <color indexed="21"/>
      <name val="Times New Roman"/>
      <family val="1"/>
    </font>
    <font>
      <sz val="6"/>
      <name val="ＭＳ Ｐゴシック"/>
      <family val="3"/>
      <charset val="128"/>
    </font>
    <font>
      <b/>
      <i/>
      <sz val="14"/>
      <color indexed="21"/>
      <name val="Times New Roman"/>
      <family val="1"/>
    </font>
    <font>
      <sz val="9"/>
      <name val="ＭＳ Ｐゴシック"/>
      <family val="3"/>
      <charset val="128"/>
    </font>
    <font>
      <b/>
      <i/>
      <sz val="13"/>
      <color indexed="21"/>
      <name val="Times New Roman"/>
      <family val="1"/>
    </font>
    <font>
      <b/>
      <sz val="12"/>
      <color theme="3"/>
      <name val="ＭＳ Ｐゴシック"/>
      <family val="3"/>
      <charset val="128"/>
    </font>
    <font>
      <sz val="12"/>
      <name val="ＭＳ Ｐゴシック"/>
      <family val="3"/>
      <charset val="128"/>
    </font>
    <font>
      <b/>
      <i/>
      <sz val="14"/>
      <color indexed="58"/>
      <name val="ＭＳ Ｐゴシック"/>
      <family val="3"/>
      <charset val="128"/>
    </font>
    <font>
      <b/>
      <i/>
      <sz val="14"/>
      <color theme="5"/>
      <name val="ＭＳ Ｐゴシック"/>
      <family val="3"/>
      <charset val="128"/>
    </font>
    <font>
      <b/>
      <i/>
      <sz val="14"/>
      <color indexed="24"/>
      <name val="ＭＳ Ｐゴシック"/>
      <family val="3"/>
      <charset val="128"/>
    </font>
    <font>
      <b/>
      <i/>
      <sz val="14"/>
      <color indexed="30"/>
      <name val="ＭＳ Ｐゴシック"/>
      <family val="3"/>
      <charset val="128"/>
    </font>
    <font>
      <b/>
      <i/>
      <sz val="14"/>
      <color theme="3"/>
      <name val="ＭＳ Ｐゴシック"/>
      <family val="3"/>
      <charset val="128"/>
    </font>
    <font>
      <b/>
      <i/>
      <sz val="12"/>
      <color indexed="58"/>
      <name val="ＭＳ Ｐゴシック"/>
      <family val="3"/>
      <charset val="128"/>
    </font>
    <font>
      <b/>
      <i/>
      <sz val="12"/>
      <color theme="8"/>
      <name val="ＭＳ Ｐゴシック"/>
      <family val="3"/>
      <charset val="128"/>
    </font>
    <font>
      <b/>
      <i/>
      <sz val="14"/>
      <name val="ＭＳ Ｐゴシック"/>
      <family val="3"/>
      <charset val="128"/>
    </font>
    <font>
      <b/>
      <i/>
      <sz val="14"/>
      <color indexed="21"/>
      <name val="ＭＳ Ｐゴシック"/>
      <family val="3"/>
      <charset val="128"/>
    </font>
    <font>
      <b/>
      <i/>
      <sz val="12"/>
      <color indexed="21"/>
      <name val="ＭＳ Ｐゴシック"/>
      <family val="3"/>
      <charset val="128"/>
    </font>
    <font>
      <b/>
      <i/>
      <sz val="14"/>
      <color theme="4" tint="-0.249977111117893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b/>
      <i/>
      <sz val="22"/>
      <name val="Arial"/>
      <family val="2"/>
    </font>
    <font>
      <b/>
      <i/>
      <sz val="11"/>
      <name val="ＭＳ Ｐゴシック"/>
      <family val="3"/>
      <charset val="128"/>
    </font>
    <font>
      <b/>
      <i/>
      <sz val="28"/>
      <name val="ＭＳ Ｐゴシック"/>
      <family val="3"/>
      <charset val="128"/>
    </font>
    <font>
      <b/>
      <i/>
      <sz val="13"/>
      <name val="Times New Roman"/>
      <family val="1"/>
    </font>
    <font>
      <b/>
      <i/>
      <sz val="14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65"/>
        <bgColor indexed="8"/>
      </patternFill>
    </fill>
    <fill>
      <patternFill patternType="solid">
        <fgColor indexed="31"/>
        <bgColor indexed="29"/>
      </patternFill>
    </fill>
    <fill>
      <patternFill patternType="solid">
        <fgColor theme="0"/>
        <bgColor indexed="2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18"/>
      </bottom>
      <diagonal/>
    </border>
    <border>
      <left/>
      <right/>
      <top style="double">
        <color indexed="32"/>
      </top>
      <bottom/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rgb="FF7030A0"/>
      </bottom>
      <diagonal/>
    </border>
    <border>
      <left style="thin">
        <color indexed="32"/>
      </left>
      <right/>
      <top style="double">
        <color indexed="32"/>
      </top>
      <bottom/>
      <diagonal/>
    </border>
    <border>
      <left style="thin">
        <color indexed="32"/>
      </left>
      <right/>
      <top/>
      <bottom style="double">
        <color rgb="FF7030A0"/>
      </bottom>
      <diagonal/>
    </border>
    <border>
      <left style="thin">
        <color indexed="32"/>
      </left>
      <right/>
      <top/>
      <bottom/>
      <diagonal/>
    </border>
    <border>
      <left style="thin">
        <color indexed="32"/>
      </left>
      <right/>
      <top/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theme="4"/>
      </bottom>
      <diagonal/>
    </border>
    <border>
      <left style="thin">
        <color indexed="64"/>
      </left>
      <right/>
      <top/>
      <bottom style="double">
        <color theme="4"/>
      </bottom>
      <diagonal/>
    </border>
    <border>
      <left style="thin">
        <color indexed="64"/>
      </left>
      <right/>
      <top/>
      <bottom style="double">
        <color rgb="FF7030A0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38" fontId="0" fillId="2" borderId="0" xfId="2" applyFont="1" applyFill="1"/>
    <xf numFmtId="30" fontId="0" fillId="2" borderId="0" xfId="0" applyNumberFormat="1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38" fontId="0" fillId="2" borderId="2" xfId="2" applyFont="1" applyFill="1" applyBorder="1"/>
    <xf numFmtId="176" fontId="7" fillId="2" borderId="0" xfId="2" applyNumberFormat="1" applyFont="1" applyFill="1"/>
    <xf numFmtId="0" fontId="6" fillId="2" borderId="3" xfId="0" applyFont="1" applyFill="1" applyBorder="1" applyAlignment="1">
      <alignment vertical="top"/>
    </xf>
    <xf numFmtId="0" fontId="0" fillId="2" borderId="3" xfId="0" applyFill="1" applyBorder="1"/>
    <xf numFmtId="177" fontId="5" fillId="2" borderId="3" xfId="2" applyNumberFormat="1" applyFont="1" applyFill="1" applyBorder="1"/>
    <xf numFmtId="0" fontId="0" fillId="2" borderId="0" xfId="0" applyFill="1" applyBorder="1"/>
    <xf numFmtId="178" fontId="7" fillId="2" borderId="0" xfId="0" applyNumberFormat="1" applyFont="1" applyFill="1"/>
    <xf numFmtId="176" fontId="9" fillId="2" borderId="0" xfId="2" applyNumberFormat="1" applyFont="1" applyFill="1" applyBorder="1" applyAlignment="1">
      <alignment horizontal="right"/>
    </xf>
    <xf numFmtId="176" fontId="9" fillId="2" borderId="3" xfId="2" applyNumberFormat="1" applyFont="1" applyFill="1" applyBorder="1" applyAlignment="1">
      <alignment horizontal="right"/>
    </xf>
    <xf numFmtId="38" fontId="9" fillId="2" borderId="3" xfId="2" applyFont="1" applyFill="1" applyBorder="1" applyAlignment="1">
      <alignment horizontal="right"/>
    </xf>
    <xf numFmtId="38" fontId="9" fillId="2" borderId="0" xfId="2" applyFont="1" applyFill="1" applyBorder="1" applyAlignment="1">
      <alignment horizontal="right"/>
    </xf>
    <xf numFmtId="176" fontId="9" fillId="2" borderId="3" xfId="2" applyNumberFormat="1" applyFont="1" applyFill="1" applyBorder="1" applyAlignment="1">
      <alignment horizontal="right" vertical="center"/>
    </xf>
    <xf numFmtId="179" fontId="4" fillId="2" borderId="0" xfId="1" applyNumberFormat="1" applyFont="1" applyFill="1" applyAlignment="1">
      <alignment horizontal="center"/>
    </xf>
    <xf numFmtId="0" fontId="6" fillId="2" borderId="0" xfId="0" applyFont="1" applyFill="1" applyBorder="1" applyAlignment="1">
      <alignment vertical="top"/>
    </xf>
    <xf numFmtId="0" fontId="0" fillId="2" borderId="9" xfId="0" applyFill="1" applyBorder="1"/>
    <xf numFmtId="38" fontId="0" fillId="2" borderId="0" xfId="0" applyNumberFormat="1" applyFill="1"/>
    <xf numFmtId="38" fontId="9" fillId="2" borderId="9" xfId="2" applyFont="1" applyFill="1" applyBorder="1" applyAlignment="1">
      <alignment horizontal="right"/>
    </xf>
    <xf numFmtId="38" fontId="0" fillId="2" borderId="9" xfId="2" applyFont="1" applyFill="1" applyBorder="1"/>
    <xf numFmtId="38" fontId="10" fillId="2" borderId="0" xfId="2" applyFont="1" applyFill="1"/>
    <xf numFmtId="0" fontId="2" fillId="7" borderId="0" xfId="0" applyFont="1" applyFill="1"/>
    <xf numFmtId="0" fontId="2" fillId="7" borderId="0" xfId="0" applyFont="1" applyFill="1" applyAlignment="1">
      <alignment horizontal="right"/>
    </xf>
    <xf numFmtId="38" fontId="11" fillId="2" borderId="0" xfId="2" applyFont="1" applyFill="1" applyBorder="1" applyAlignment="1">
      <alignment horizontal="right"/>
    </xf>
    <xf numFmtId="176" fontId="11" fillId="2" borderId="0" xfId="2" applyNumberFormat="1" applyFont="1" applyFill="1" applyBorder="1" applyAlignment="1">
      <alignment horizontal="right"/>
    </xf>
    <xf numFmtId="0" fontId="14" fillId="4" borderId="10" xfId="0" applyFont="1" applyFill="1" applyBorder="1" applyAlignment="1">
      <alignment horizontal="center"/>
    </xf>
    <xf numFmtId="0" fontId="0" fillId="2" borderId="0" xfId="0" applyFont="1" applyFill="1"/>
    <xf numFmtId="0" fontId="0" fillId="8" borderId="0" xfId="0" applyFill="1"/>
    <xf numFmtId="38" fontId="12" fillId="8" borderId="0" xfId="2" applyFont="1" applyFill="1" applyAlignment="1">
      <alignment horizontal="center"/>
    </xf>
    <xf numFmtId="0" fontId="13" fillId="8" borderId="0" xfId="0" applyFont="1" applyFill="1"/>
    <xf numFmtId="0" fontId="12" fillId="8" borderId="0" xfId="0" applyFont="1" applyFill="1" applyAlignment="1">
      <alignment horizontal="center"/>
    </xf>
    <xf numFmtId="0" fontId="1" fillId="2" borderId="9" xfId="0" applyFont="1" applyFill="1" applyBorder="1"/>
    <xf numFmtId="0" fontId="14" fillId="5" borderId="9" xfId="0" applyFont="1" applyFill="1" applyBorder="1" applyAlignment="1">
      <alignment horizontal="right" vertical="center"/>
    </xf>
    <xf numFmtId="0" fontId="0" fillId="2" borderId="1" xfId="0" applyFont="1" applyFill="1" applyBorder="1"/>
    <xf numFmtId="0" fontId="16" fillId="7" borderId="0" xfId="0" applyFont="1" applyFill="1" applyAlignment="1">
      <alignment horizontal="right"/>
    </xf>
    <xf numFmtId="14" fontId="17" fillId="6" borderId="0" xfId="0" applyNumberFormat="1" applyFont="1" applyFill="1"/>
    <xf numFmtId="1" fontId="17" fillId="6" borderId="0" xfId="0" applyNumberFormat="1" applyFont="1" applyFill="1" applyAlignment="1">
      <alignment horizontal="center"/>
    </xf>
    <xf numFmtId="0" fontId="0" fillId="7" borderId="0" xfId="0" applyFont="1" applyFill="1"/>
    <xf numFmtId="10" fontId="17" fillId="6" borderId="0" xfId="1" applyNumberFormat="1" applyFont="1" applyFill="1"/>
    <xf numFmtId="0" fontId="18" fillId="7" borderId="0" xfId="0" applyFont="1" applyFill="1" applyAlignment="1">
      <alignment horizontal="right"/>
    </xf>
    <xf numFmtId="2" fontId="17" fillId="6" borderId="0" xfId="2" applyNumberFormat="1" applyFont="1" applyFill="1"/>
    <xf numFmtId="0" fontId="0" fillId="2" borderId="2" xfId="0" applyFont="1" applyFill="1" applyBorder="1"/>
    <xf numFmtId="0" fontId="0" fillId="3" borderId="2" xfId="0" applyFont="1" applyFill="1" applyBorder="1"/>
    <xf numFmtId="0" fontId="0" fillId="3" borderId="5" xfId="0" applyFont="1" applyFill="1" applyBorder="1"/>
    <xf numFmtId="0" fontId="0" fillId="2" borderId="2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9" fillId="4" borderId="10" xfId="0" applyFont="1" applyFill="1" applyBorder="1" applyAlignment="1">
      <alignment horizontal="center"/>
    </xf>
    <xf numFmtId="38" fontId="1" fillId="2" borderId="0" xfId="2" applyFont="1" applyFill="1"/>
    <xf numFmtId="38" fontId="1" fillId="2" borderId="9" xfId="2" applyFont="1" applyFill="1" applyBorder="1"/>
    <xf numFmtId="38" fontId="20" fillId="7" borderId="0" xfId="2" applyFont="1" applyFill="1" applyAlignment="1">
      <alignment horizontal="right"/>
    </xf>
    <xf numFmtId="0" fontId="21" fillId="7" borderId="0" xfId="0" applyFont="1" applyFill="1" applyAlignment="1">
      <alignment horizontal="right" vertical="center"/>
    </xf>
    <xf numFmtId="0" fontId="21" fillId="7" borderId="0" xfId="0" applyFont="1" applyFill="1"/>
    <xf numFmtId="0" fontId="21" fillId="7" borderId="0" xfId="0" applyFont="1" applyFill="1" applyAlignment="1">
      <alignment horizontal="right"/>
    </xf>
    <xf numFmtId="10" fontId="4" fillId="2" borderId="0" xfId="1" applyNumberFormat="1" applyFont="1" applyFill="1" applyAlignment="1">
      <alignment horizontal="center"/>
    </xf>
    <xf numFmtId="38" fontId="0" fillId="2" borderId="0" xfId="2" applyFont="1" applyFill="1" applyBorder="1"/>
    <xf numFmtId="0" fontId="14" fillId="5" borderId="9" xfId="0" applyFont="1" applyFill="1" applyBorder="1" applyAlignment="1">
      <alignment horizontal="right" vertical="center" wrapText="1"/>
    </xf>
    <xf numFmtId="38" fontId="22" fillId="2" borderId="0" xfId="2" applyFont="1" applyFill="1" applyBorder="1" applyAlignment="1">
      <alignment horizontal="right"/>
    </xf>
    <xf numFmtId="176" fontId="22" fillId="2" borderId="0" xfId="2" applyNumberFormat="1" applyFont="1" applyFill="1" applyBorder="1" applyAlignment="1">
      <alignment horizontal="right"/>
    </xf>
    <xf numFmtId="176" fontId="22" fillId="6" borderId="0" xfId="2" applyNumberFormat="1" applyFont="1" applyFill="1" applyBorder="1" applyAlignment="1">
      <alignment horizontal="center"/>
    </xf>
    <xf numFmtId="176" fontId="22" fillId="6" borderId="9" xfId="2" applyNumberFormat="1" applyFont="1" applyFill="1" applyBorder="1" applyAlignment="1">
      <alignment horizontal="center"/>
    </xf>
    <xf numFmtId="181" fontId="4" fillId="2" borderId="0" xfId="2" applyNumberFormat="1" applyFont="1" applyFill="1" applyAlignment="1">
      <alignment horizontal="right"/>
    </xf>
    <xf numFmtId="181" fontId="7" fillId="2" borderId="0" xfId="2" applyNumberFormat="1" applyFont="1" applyFill="1"/>
    <xf numFmtId="180" fontId="7" fillId="2" borderId="7" xfId="2" applyNumberFormat="1" applyFont="1" applyFill="1" applyBorder="1"/>
    <xf numFmtId="180" fontId="7" fillId="2" borderId="8" xfId="2" applyNumberFormat="1" applyFont="1" applyFill="1" applyBorder="1"/>
    <xf numFmtId="176" fontId="23" fillId="2" borderId="0" xfId="2" applyNumberFormat="1" applyFont="1" applyFill="1" applyBorder="1" applyAlignment="1">
      <alignment horizontal="left"/>
    </xf>
    <xf numFmtId="176" fontId="24" fillId="8" borderId="0" xfId="2" applyNumberFormat="1" applyFont="1" applyFill="1" applyBorder="1" applyAlignment="1">
      <alignment horizontal="center"/>
    </xf>
    <xf numFmtId="9" fontId="24" fillId="8" borderId="0" xfId="1" applyNumberFormat="1" applyFont="1" applyFill="1" applyAlignment="1">
      <alignment horizontal="center"/>
    </xf>
    <xf numFmtId="176" fontId="24" fillId="8" borderId="9" xfId="2" applyNumberFormat="1" applyFont="1" applyFill="1" applyBorder="1" applyAlignment="1">
      <alignment horizontal="center"/>
    </xf>
    <xf numFmtId="38" fontId="10" fillId="2" borderId="9" xfId="2" applyFont="1" applyFill="1" applyBorder="1"/>
    <xf numFmtId="38" fontId="4" fillId="2" borderId="0" xfId="2" applyFont="1" applyFill="1"/>
    <xf numFmtId="182" fontId="10" fillId="2" borderId="0" xfId="0" applyNumberFormat="1" applyFont="1" applyFill="1" applyAlignment="1">
      <alignment horizontal="center"/>
    </xf>
    <xf numFmtId="182" fontId="10" fillId="2" borderId="9" xfId="0" applyNumberFormat="1" applyFont="1" applyFill="1" applyBorder="1" applyAlignment="1">
      <alignment horizontal="center"/>
    </xf>
    <xf numFmtId="0" fontId="25" fillId="2" borderId="0" xfId="0" applyFont="1" applyFill="1"/>
    <xf numFmtId="183" fontId="4" fillId="2" borderId="0" xfId="1" applyNumberFormat="1" applyFont="1" applyFill="1"/>
    <xf numFmtId="184" fontId="4" fillId="2" borderId="0" xfId="0" applyNumberFormat="1" applyFont="1" applyFill="1"/>
    <xf numFmtId="0" fontId="4" fillId="2" borderId="0" xfId="0" applyFont="1" applyFill="1" applyAlignment="1">
      <alignment horizontal="left"/>
    </xf>
    <xf numFmtId="0" fontId="0" fillId="8" borderId="0" xfId="0" applyFont="1" applyFill="1" applyBorder="1"/>
    <xf numFmtId="0" fontId="16" fillId="9" borderId="0" xfId="0" applyFont="1" applyFill="1" applyBorder="1" applyAlignment="1">
      <alignment horizontal="right"/>
    </xf>
    <xf numFmtId="0" fontId="0" fillId="8" borderId="0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left"/>
    </xf>
    <xf numFmtId="0" fontId="15" fillId="5" borderId="0" xfId="0" applyFont="1" applyFill="1" applyBorder="1" applyAlignment="1">
      <alignment horizontal="right"/>
    </xf>
    <xf numFmtId="178" fontId="7" fillId="8" borderId="0" xfId="0" applyNumberFormat="1" applyFont="1" applyFill="1" applyBorder="1"/>
    <xf numFmtId="177" fontId="5" fillId="8" borderId="0" xfId="2" applyNumberFormat="1" applyFont="1" applyFill="1" applyBorder="1"/>
    <xf numFmtId="0" fontId="0" fillId="2" borderId="0" xfId="0" applyFill="1" applyAlignment="1">
      <alignment horizontal="left"/>
    </xf>
    <xf numFmtId="176" fontId="7" fillId="2" borderId="13" xfId="2" applyNumberFormat="1" applyFont="1" applyFill="1" applyBorder="1"/>
    <xf numFmtId="0" fontId="0" fillId="2" borderId="11" xfId="0" applyFill="1" applyBorder="1"/>
    <xf numFmtId="0" fontId="21" fillId="4" borderId="6" xfId="0" applyFont="1" applyFill="1" applyBorder="1" applyAlignment="1">
      <alignment horizontal="left"/>
    </xf>
    <xf numFmtId="0" fontId="21" fillId="4" borderId="4" xfId="0" applyFont="1" applyFill="1" applyBorder="1" applyAlignment="1">
      <alignment horizontal="center"/>
    </xf>
    <xf numFmtId="0" fontId="21" fillId="4" borderId="12" xfId="0" applyFont="1" applyFill="1" applyBorder="1" applyAlignment="1">
      <alignment horizontal="left"/>
    </xf>
    <xf numFmtId="0" fontId="21" fillId="4" borderId="8" xfId="0" applyFont="1" applyFill="1" applyBorder="1" applyAlignment="1">
      <alignment horizontal="right"/>
    </xf>
    <xf numFmtId="0" fontId="21" fillId="4" borderId="10" xfId="0" applyFont="1" applyFill="1" applyBorder="1" applyAlignment="1">
      <alignment horizontal="right"/>
    </xf>
    <xf numFmtId="0" fontId="21" fillId="4" borderId="11" xfId="0" applyFont="1" applyFill="1" applyBorder="1" applyAlignment="1">
      <alignment horizontal="right"/>
    </xf>
    <xf numFmtId="0" fontId="21" fillId="5" borderId="9" xfId="0" applyFont="1" applyFill="1" applyBorder="1" applyAlignment="1">
      <alignment horizontal="right" vertical="center" wrapText="1"/>
    </xf>
    <xf numFmtId="0" fontId="21" fillId="5" borderId="9" xfId="0" applyFont="1" applyFill="1" applyBorder="1" applyAlignment="1">
      <alignment horizontal="right" vertical="center"/>
    </xf>
    <xf numFmtId="38" fontId="26" fillId="2" borderId="9" xfId="2" applyFont="1" applyFill="1" applyBorder="1"/>
    <xf numFmtId="176" fontId="27" fillId="2" borderId="0" xfId="2" applyNumberFormat="1" applyFont="1" applyFill="1" applyBorder="1" applyAlignment="1">
      <alignment horizontal="right"/>
    </xf>
    <xf numFmtId="0" fontId="0" fillId="2" borderId="9" xfId="0" applyFont="1" applyFill="1" applyBorder="1"/>
    <xf numFmtId="176" fontId="27" fillId="2" borderId="9" xfId="2" applyNumberFormat="1" applyFont="1" applyFill="1" applyBorder="1" applyAlignment="1">
      <alignment horizontal="right"/>
    </xf>
    <xf numFmtId="38" fontId="28" fillId="2" borderId="9" xfId="2" applyFont="1" applyFill="1" applyBorder="1"/>
    <xf numFmtId="38" fontId="28" fillId="2" borderId="1" xfId="2" applyFont="1" applyFill="1" applyBorder="1"/>
    <xf numFmtId="176" fontId="29" fillId="2" borderId="0" xfId="2" applyNumberFormat="1" applyFont="1" applyFill="1" applyBorder="1" applyAlignment="1">
      <alignment horizontal="right" vertical="center"/>
    </xf>
    <xf numFmtId="180" fontId="29" fillId="2" borderId="0" xfId="2" applyNumberFormat="1" applyFont="1" applyFill="1" applyBorder="1" applyAlignment="1">
      <alignment horizontal="right"/>
    </xf>
    <xf numFmtId="177" fontId="29" fillId="2" borderId="0" xfId="2" applyNumberFormat="1" applyFont="1" applyFill="1" applyBorder="1" applyAlignment="1">
      <alignment horizontal="right"/>
    </xf>
    <xf numFmtId="38" fontId="29" fillId="2" borderId="0" xfId="2" applyFont="1" applyFill="1" applyBorder="1" applyAlignment="1">
      <alignment horizontal="right"/>
    </xf>
    <xf numFmtId="181" fontId="29" fillId="2" borderId="0" xfId="2" applyNumberFormat="1" applyFont="1" applyFill="1" applyBorder="1" applyAlignment="1">
      <alignment horizontal="right"/>
    </xf>
    <xf numFmtId="176" fontId="30" fillId="2" borderId="0" xfId="2" applyNumberFormat="1" applyFont="1" applyFill="1" applyBorder="1" applyAlignment="1">
      <alignment horizontal="right" vertical="center"/>
    </xf>
    <xf numFmtId="176" fontId="30" fillId="2" borderId="9" xfId="2" applyNumberFormat="1" applyFont="1" applyFill="1" applyBorder="1" applyAlignment="1">
      <alignment horizontal="right"/>
    </xf>
    <xf numFmtId="176" fontId="21" fillId="2" borderId="0" xfId="2" applyNumberFormat="1" applyFont="1" applyFill="1" applyBorder="1" applyAlignment="1">
      <alignment horizontal="right" vertical="center"/>
    </xf>
    <xf numFmtId="176" fontId="21" fillId="2" borderId="9" xfId="2" applyNumberFormat="1" applyFont="1" applyFill="1" applyBorder="1" applyAlignment="1">
      <alignment horizontal="right"/>
    </xf>
    <xf numFmtId="0" fontId="0" fillId="2" borderId="0" xfId="0" applyFont="1" applyFill="1" applyBorder="1"/>
    <xf numFmtId="38" fontId="29" fillId="10" borderId="9" xfId="2" applyFont="1" applyFill="1" applyBorder="1" applyAlignment="1">
      <alignment horizontal="right"/>
    </xf>
    <xf numFmtId="176" fontId="29" fillId="10" borderId="9" xfId="2" applyNumberFormat="1" applyFont="1" applyFill="1" applyBorder="1" applyAlignment="1">
      <alignment horizontal="right"/>
    </xf>
    <xf numFmtId="180" fontId="29" fillId="10" borderId="9" xfId="2" applyNumberFormat="1" applyFont="1" applyFill="1" applyBorder="1" applyAlignment="1">
      <alignment horizontal="right"/>
    </xf>
    <xf numFmtId="181" fontId="29" fillId="10" borderId="9" xfId="2" applyNumberFormat="1" applyFont="1" applyFill="1" applyBorder="1" applyAlignment="1">
      <alignment horizontal="right"/>
    </xf>
    <xf numFmtId="14" fontId="17" fillId="11" borderId="0" xfId="0" applyNumberFormat="1" applyFont="1" applyFill="1"/>
    <xf numFmtId="1" fontId="17" fillId="11" borderId="0" xfId="2" applyNumberFormat="1" applyFont="1" applyFill="1"/>
    <xf numFmtId="183" fontId="4" fillId="11" borderId="0" xfId="1" applyNumberFormat="1" applyFont="1" applyFill="1"/>
    <xf numFmtId="0" fontId="0" fillId="11" borderId="0" xfId="0" applyFill="1"/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chemeClr val="tx1"/>
                </a:solidFill>
              </a:rPr>
              <a:t>日付 と </a:t>
            </a:r>
            <a:r>
              <a:rPr lang="en-US" altLang="ja-JP">
                <a:solidFill>
                  <a:schemeClr val="tx1"/>
                </a:solidFill>
              </a:rPr>
              <a:t>PL</a:t>
            </a:r>
          </a:p>
        </c:rich>
      </c:tx>
      <c:layout>
        <c:manualLayout>
          <c:xMode val="edge"/>
          <c:yMode val="edge"/>
          <c:x val="0.44810228938093777"/>
          <c:y val="1.4412124341453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5880320258046298E-2"/>
          <c:y val="0.13609983780756327"/>
          <c:w val="0.94823935948390736"/>
          <c:h val="0.77570872051399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NKYOption!$R$28:$R$48</c:f>
              <c:numCache>
                <c:formatCode>yy/m/d</c:formatCode>
                <c:ptCount val="21"/>
              </c:numCache>
            </c:numRef>
          </c:xVal>
          <c:yVal>
            <c:numRef>
              <c:f>NKYOption!$S$28:$S$48</c:f>
              <c:numCache>
                <c:formatCode>#,##0_);[Red]\(#,##0\)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2-48FA-832C-43901DDED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602760"/>
        <c:axId val="724601120"/>
      </c:scatterChart>
      <c:valAx>
        <c:axId val="724602760"/>
        <c:scaling>
          <c:orientation val="minMax"/>
          <c:max val="44238"/>
          <c:min val="4421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/m/d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4601120"/>
        <c:crosses val="autoZero"/>
        <c:crossBetween val="midCat"/>
      </c:valAx>
      <c:valAx>
        <c:axId val="7246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2460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1144360</xdr:colOff>
      <xdr:row>1</xdr:row>
      <xdr:rowOff>36981</xdr:rowOff>
    </xdr:from>
    <xdr:to>
      <xdr:col>11</xdr:col>
      <xdr:colOff>1123950</xdr:colOff>
      <xdr:row>3</xdr:row>
      <xdr:rowOff>104775</xdr:rowOff>
    </xdr:to>
    <xdr:sp macro="[0]!SetOptionEqtInfo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16685" y="217956"/>
          <a:ext cx="1170215" cy="42974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ja-JP" altLang="en-US" sz="2000"/>
            <a:t>計算</a:t>
          </a:r>
        </a:p>
      </xdr:txBody>
    </xdr:sp>
    <xdr:clientData fPrintsWithSheet="0"/>
  </xdr:twoCellAnchor>
  <xdr:twoCellAnchor>
    <xdr:from>
      <xdr:col>11</xdr:col>
      <xdr:colOff>1247775</xdr:colOff>
      <xdr:row>1</xdr:row>
      <xdr:rowOff>46506</xdr:rowOff>
    </xdr:from>
    <xdr:to>
      <xdr:col>14</xdr:col>
      <xdr:colOff>200025</xdr:colOff>
      <xdr:row>3</xdr:row>
      <xdr:rowOff>114542</xdr:rowOff>
    </xdr:to>
    <xdr:sp macro="[0]!setPrice2Co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610725" y="227481"/>
          <a:ext cx="2647950" cy="4299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en-US" altLang="ja-JP" sz="2000" baseline="0"/>
            <a:t>Price</a:t>
          </a:r>
          <a:r>
            <a:rPr kumimoji="1" lang="ja-JP" altLang="en-US" sz="2000" baseline="0"/>
            <a:t>を</a:t>
          </a:r>
          <a:r>
            <a:rPr kumimoji="1" lang="en-US" altLang="ja-JP" sz="2000" baseline="0"/>
            <a:t>Cost</a:t>
          </a:r>
          <a:r>
            <a:rPr kumimoji="1" lang="ja-JP" altLang="en-US" sz="2000" baseline="0"/>
            <a:t>にセット</a:t>
          </a:r>
          <a:endParaRPr kumimoji="1" lang="en-US" altLang="ja-JP" sz="2000" baseline="0"/>
        </a:p>
        <a:p>
          <a:pPr algn="ctr"/>
          <a:endParaRPr kumimoji="1" lang="ja-JP" altLang="en-US" sz="2000"/>
        </a:p>
      </xdr:txBody>
    </xdr:sp>
    <xdr:clientData fPrintsWithSheet="0"/>
  </xdr:twoCellAnchor>
  <xdr:twoCellAnchor>
    <xdr:from>
      <xdr:col>14</xdr:col>
      <xdr:colOff>301438</xdr:colOff>
      <xdr:row>1</xdr:row>
      <xdr:rowOff>65556</xdr:rowOff>
    </xdr:from>
    <xdr:to>
      <xdr:col>16</xdr:col>
      <xdr:colOff>133350</xdr:colOff>
      <xdr:row>3</xdr:row>
      <xdr:rowOff>133592</xdr:rowOff>
    </xdr:to>
    <xdr:sp macro="[0]!ClearEq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360088" y="246531"/>
          <a:ext cx="1251137" cy="4299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000"/>
            <a:t>CLEAR</a:t>
          </a:r>
          <a:endParaRPr kumimoji="1" lang="ja-JP" altLang="en-US" sz="2000"/>
        </a:p>
      </xdr:txBody>
    </xdr:sp>
    <xdr:clientData fPrintsWithSheet="0"/>
  </xdr:twoCellAnchor>
  <xdr:twoCellAnchor>
    <xdr:from>
      <xdr:col>20</xdr:col>
      <xdr:colOff>274544</xdr:colOff>
      <xdr:row>21</xdr:row>
      <xdr:rowOff>67235</xdr:rowOff>
    </xdr:from>
    <xdr:to>
      <xdr:col>22</xdr:col>
      <xdr:colOff>672353</xdr:colOff>
      <xdr:row>21</xdr:row>
      <xdr:rowOff>385800</xdr:rowOff>
    </xdr:to>
    <xdr:sp macro="[0]!EqtSimulation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483603" y="6779559"/>
          <a:ext cx="1764926" cy="3185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1" lang="en-US" altLang="ja-JP" sz="2000"/>
            <a:t>Simulate</a:t>
          </a:r>
          <a:endParaRPr kumimoji="1" lang="ja-JP" altLang="en-US" sz="2000"/>
        </a:p>
      </xdr:txBody>
    </xdr:sp>
    <xdr:clientData/>
  </xdr:twoCellAnchor>
  <xdr:twoCellAnchor editAs="absolute">
    <xdr:from>
      <xdr:col>1</xdr:col>
      <xdr:colOff>661494</xdr:colOff>
      <xdr:row>24</xdr:row>
      <xdr:rowOff>128428</xdr:rowOff>
    </xdr:from>
    <xdr:to>
      <xdr:col>14</xdr:col>
      <xdr:colOff>149087</xdr:colOff>
      <xdr:row>45</xdr:row>
      <xdr:rowOff>82825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199196</xdr:colOff>
      <xdr:row>24</xdr:row>
      <xdr:rowOff>132522</xdr:rowOff>
    </xdr:from>
    <xdr:to>
      <xdr:col>3</xdr:col>
      <xdr:colOff>370646</xdr:colOff>
      <xdr:row>27</xdr:row>
      <xdr:rowOff>33545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AA54991-FBE5-402C-AFB2-21F08B5143D4}"/>
            </a:ext>
          </a:extLst>
        </xdr:cNvPr>
        <xdr:cNvSpPr txBox="1"/>
      </xdr:nvSpPr>
      <xdr:spPr>
        <a:xfrm>
          <a:off x="497370" y="5524500"/>
          <a:ext cx="2324928" cy="5884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chemeClr val="tx1"/>
              </a:solidFill>
            </a:rPr>
            <a:t>ﾍﾞｶﾞ・セータは千円単位</a:t>
          </a:r>
          <a:endParaRPr kumimoji="1" lang="en-US" altLang="ja-JP" sz="1100">
            <a:solidFill>
              <a:schemeClr val="tx1"/>
            </a:solidFill>
          </a:endParaRPr>
        </a:p>
        <a:p>
          <a:r>
            <a:rPr kumimoji="1" lang="ja-JP" altLang="en-US" sz="1100">
              <a:solidFill>
                <a:schemeClr val="tx1"/>
              </a:solidFill>
            </a:rPr>
            <a:t>ﾃﾞﾙﾀ・ｶﾞﾝﾏは百万単位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597591</xdr:colOff>
      <xdr:row>26</xdr:row>
      <xdr:rowOff>208307</xdr:rowOff>
    </xdr:from>
    <xdr:to>
      <xdr:col>24</xdr:col>
      <xdr:colOff>56736</xdr:colOff>
      <xdr:row>30</xdr:row>
      <xdr:rowOff>144532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DC589413-2836-49C4-BAC4-594E032A2081}"/>
            </a:ext>
          </a:extLst>
        </xdr:cNvPr>
        <xdr:cNvSpPr txBox="1"/>
      </xdr:nvSpPr>
      <xdr:spPr>
        <a:xfrm>
          <a:off x="16293134" y="6030981"/>
          <a:ext cx="2921276" cy="714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chemeClr val="accent1">
                  <a:lumMod val="75000"/>
                </a:schemeClr>
              </a:solidFill>
            </a:rPr>
            <a:t>ボラは∓５％を</a:t>
          </a:r>
          <a:r>
            <a:rPr kumimoji="1" lang="en-US" altLang="ja-JP" sz="1100">
              <a:solidFill>
                <a:schemeClr val="accent1">
                  <a:lumMod val="75000"/>
                </a:schemeClr>
              </a:solidFill>
            </a:rPr>
            <a:t>0.5</a:t>
          </a:r>
          <a:r>
            <a:rPr kumimoji="1" lang="ja-JP" altLang="en-US" sz="1100">
              <a:solidFill>
                <a:schemeClr val="accent1">
                  <a:lumMod val="75000"/>
                </a:schemeClr>
              </a:solidFill>
            </a:rPr>
            <a:t>％刻みで変化</a:t>
          </a:r>
          <a:endParaRPr kumimoji="1" lang="en-US" altLang="ja-JP" sz="1100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1100">
              <a:solidFill>
                <a:schemeClr val="accent1">
                  <a:lumMod val="75000"/>
                </a:schemeClr>
              </a:solidFill>
            </a:rPr>
            <a:t>日付は先２０日間分１日刻みで変化</a:t>
          </a:r>
          <a:endParaRPr kumimoji="1" lang="en-US" altLang="ja-JP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240094</xdr:colOff>
      <xdr:row>1</xdr:row>
      <xdr:rowOff>40533</xdr:rowOff>
    </xdr:from>
    <xdr:to>
      <xdr:col>19</xdr:col>
      <xdr:colOff>420413</xdr:colOff>
      <xdr:row>43</xdr:row>
      <xdr:rowOff>111672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EA729F5-51CD-44EE-A30A-BFD080914D59}"/>
            </a:ext>
          </a:extLst>
        </xdr:cNvPr>
        <xdr:cNvSpPr txBox="1"/>
      </xdr:nvSpPr>
      <xdr:spPr>
        <a:xfrm>
          <a:off x="240094" y="211326"/>
          <a:ext cx="13160595" cy="72444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主要モジュール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SetOptionEqtInfo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　上段表にオプション計算値セット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   関数の計算結果を順次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Excel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にセット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EqtSimulation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　シミュレーション計算してグラフデータセット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   変化させるパラメータの配列と計算結果の配列に値をセット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   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Excel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にセットする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setEqtyDDE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　ブルンバーグ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DDE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のセット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    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Range("xx").Formula = "=BDP( xxxx )"</a:t>
          </a: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IsOption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　日経平均オプションの判別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     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正規表現の扱いかた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IsRangeArea 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指定したレンジが所定のレンジにあるか判断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    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Intersect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 （ダブルクリックする際の判定に）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ブラックショールズ系関数については　</a:t>
          </a:r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　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〜 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一般教養としての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Excel VBA 【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第７回 クオンツ編 ブラックショールズ</a:t>
          </a:r>
          <a:r>
            <a:rPr kumimoji="1" lang="en-US" altLang="ja-JP" sz="2400" b="1">
              <a:solidFill>
                <a:schemeClr val="accent1">
                  <a:lumMod val="75000"/>
                </a:schemeClr>
              </a:solidFill>
            </a:rPr>
            <a:t>】 〜 </a:t>
          </a:r>
          <a:r>
            <a:rPr kumimoji="1" lang="ja-JP" altLang="en-US" sz="2400" b="1">
              <a:solidFill>
                <a:schemeClr val="accent1">
                  <a:lumMod val="75000"/>
                </a:schemeClr>
              </a:solidFill>
            </a:rPr>
            <a:t>を参考に！</a:t>
          </a:r>
        </a:p>
        <a:p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  <a:p>
          <a:endParaRPr kumimoji="1" lang="en-US" altLang="ja-JP" sz="24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qt">
    <pageSetUpPr fitToPage="1"/>
  </sheetPr>
  <dimension ref="A1:AF55"/>
  <sheetViews>
    <sheetView tabSelected="1" zoomScale="115" zoomScaleNormal="115" workbookViewId="0">
      <selection activeCell="W6" sqref="W6"/>
    </sheetView>
  </sheetViews>
  <sheetFormatPr defaultRowHeight="13.5" x14ac:dyDescent="0.15"/>
  <cols>
    <col min="1" max="1" width="3.875" style="1" customWidth="1"/>
    <col min="2" max="2" width="14.625" style="2" customWidth="1"/>
    <col min="3" max="3" width="13.625" style="3" customWidth="1"/>
    <col min="4" max="4" width="10.75" style="2" customWidth="1"/>
    <col min="5" max="5" width="14.875" style="2" customWidth="1"/>
    <col min="6" max="6" width="12.25" style="2" customWidth="1"/>
    <col min="7" max="7" width="14.25" style="2" customWidth="1"/>
    <col min="8" max="8" width="11.125" style="2" customWidth="1"/>
    <col min="9" max="9" width="13.375" style="2" customWidth="1"/>
    <col min="10" max="10" width="6.75" style="2" hidden="1" customWidth="1"/>
    <col min="11" max="11" width="15.625" style="2" hidden="1" customWidth="1"/>
    <col min="12" max="12" width="17.75" style="2" customWidth="1"/>
    <col min="13" max="13" width="14" style="2" customWidth="1"/>
    <col min="14" max="14" width="14.375" style="2" customWidth="1"/>
    <col min="15" max="15" width="14.5" style="2" customWidth="1"/>
    <col min="16" max="16" width="8.75" style="2" customWidth="1"/>
    <col min="17" max="17" width="9.375" style="2" customWidth="1"/>
    <col min="18" max="18" width="8.75" style="2" customWidth="1"/>
    <col min="19" max="19" width="10.75" style="2" customWidth="1"/>
    <col min="20" max="20" width="9.375" style="2" customWidth="1"/>
    <col min="21" max="26" width="9" style="2"/>
    <col min="27" max="27" width="15.5" style="2" customWidth="1"/>
    <col min="28" max="28" width="4" style="2" customWidth="1"/>
    <col min="29" max="29" width="3" style="2" customWidth="1"/>
    <col min="30" max="30" width="6" style="2" customWidth="1"/>
    <col min="31" max="31" width="5.25" style="2" customWidth="1"/>
    <col min="32" max="16384" width="9" style="2"/>
  </cols>
  <sheetData>
    <row r="1" spans="1:26" ht="14.25" x14ac:dyDescent="0.15">
      <c r="B1" s="35"/>
      <c r="C1" s="36"/>
      <c r="D1" s="35"/>
      <c r="E1" s="35"/>
      <c r="F1" s="35"/>
      <c r="G1" s="35"/>
      <c r="H1" s="35"/>
    </row>
    <row r="2" spans="1:26" ht="14.25" x14ac:dyDescent="0.15">
      <c r="B2" s="35"/>
      <c r="C2" s="36"/>
      <c r="D2" s="36"/>
      <c r="E2" s="37"/>
      <c r="F2" s="35"/>
      <c r="G2" s="35"/>
      <c r="H2" s="35"/>
    </row>
    <row r="3" spans="1:26" ht="14.25" x14ac:dyDescent="0.15">
      <c r="B3" s="35"/>
      <c r="C3" s="36"/>
      <c r="D3" s="38"/>
      <c r="E3" s="38"/>
      <c r="F3" s="35"/>
      <c r="G3" s="35"/>
      <c r="H3" s="35"/>
      <c r="X3" s="2" t="s">
        <v>70</v>
      </c>
    </row>
    <row r="4" spans="1:26" ht="36.75" customHeight="1" thickBot="1" x14ac:dyDescent="0.35">
      <c r="A4" s="6"/>
      <c r="B4" s="41"/>
      <c r="C4" s="107" t="s">
        <v>72</v>
      </c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84"/>
      <c r="U4" s="83" t="s">
        <v>67</v>
      </c>
      <c r="V4" s="82"/>
      <c r="W4" s="77"/>
      <c r="X4" s="81"/>
      <c r="Y4" s="22"/>
      <c r="Z4" s="61"/>
    </row>
    <row r="5" spans="1:26" ht="20.25" thickTop="1" x14ac:dyDescent="0.35">
      <c r="A5" s="29"/>
      <c r="B5" s="58"/>
      <c r="C5" s="59"/>
      <c r="D5" s="60" t="s">
        <v>34</v>
      </c>
      <c r="E5" s="122">
        <v>44218</v>
      </c>
      <c r="F5" s="60" t="s">
        <v>36</v>
      </c>
      <c r="G5" s="46">
        <v>0</v>
      </c>
      <c r="H5" s="44"/>
      <c r="I5" s="43"/>
      <c r="J5" s="43"/>
      <c r="K5" s="45"/>
      <c r="L5" s="42"/>
      <c r="M5" s="47"/>
      <c r="N5" s="42"/>
      <c r="O5" s="47"/>
      <c r="P5" s="42"/>
      <c r="Q5" s="60"/>
      <c r="R5" s="57"/>
      <c r="S5" s="42"/>
      <c r="T5" s="85"/>
      <c r="U5" s="83" t="s">
        <v>52</v>
      </c>
      <c r="V5" s="82">
        <v>10</v>
      </c>
      <c r="W5" s="124">
        <v>0.16327800000000001</v>
      </c>
      <c r="X5" s="22" t="s">
        <v>51</v>
      </c>
      <c r="Y5" s="61">
        <v>8.4930610000000001E-4</v>
      </c>
      <c r="Z5" s="77"/>
    </row>
    <row r="6" spans="1:26" ht="20.25" thickBot="1" x14ac:dyDescent="0.4">
      <c r="A6" s="30"/>
      <c r="B6" s="60"/>
      <c r="C6" s="60"/>
      <c r="D6" s="60" t="s">
        <v>35</v>
      </c>
      <c r="E6" s="123">
        <v>29000</v>
      </c>
      <c r="F6" s="48"/>
      <c r="G6" s="48"/>
      <c r="H6" s="48"/>
      <c r="I6" s="48"/>
      <c r="J6" s="48"/>
      <c r="K6" s="45"/>
      <c r="L6" s="60"/>
      <c r="M6" s="46"/>
      <c r="N6" s="60"/>
      <c r="O6" s="47"/>
      <c r="P6" s="42"/>
      <c r="Q6" s="42"/>
      <c r="R6" s="42"/>
      <c r="S6" s="42"/>
      <c r="T6" s="85"/>
      <c r="U6" s="83" t="s">
        <v>53</v>
      </c>
      <c r="V6" s="82">
        <v>-5</v>
      </c>
      <c r="W6" s="124"/>
      <c r="X6" s="22"/>
      <c r="Y6" s="61"/>
      <c r="Z6" s="77">
        <v>29000</v>
      </c>
    </row>
    <row r="7" spans="1:26" ht="8.25" customHeight="1" thickTop="1" x14ac:dyDescent="0.15">
      <c r="A7" s="9"/>
      <c r="B7" s="49"/>
      <c r="C7" s="10"/>
      <c r="D7" s="49"/>
      <c r="E7" s="50"/>
      <c r="F7" s="50"/>
      <c r="G7" s="50"/>
      <c r="H7" s="50"/>
      <c r="I7" s="50"/>
      <c r="J7" s="50"/>
      <c r="K7" s="51"/>
      <c r="L7" s="50"/>
      <c r="M7" s="50"/>
      <c r="N7" s="52"/>
      <c r="O7" s="52"/>
      <c r="P7" s="52"/>
      <c r="Q7" s="52"/>
      <c r="R7" s="52"/>
      <c r="S7" s="52"/>
      <c r="T7" s="86"/>
      <c r="U7" s="91"/>
      <c r="W7" s="125"/>
    </row>
    <row r="8" spans="1:26" ht="20.25" thickBot="1" x14ac:dyDescent="0.4">
      <c r="A8" s="7"/>
      <c r="B8" s="53"/>
      <c r="C8" s="53"/>
      <c r="D8" s="53"/>
      <c r="E8" s="53"/>
      <c r="F8" s="53"/>
      <c r="G8" s="53"/>
      <c r="H8" s="53"/>
      <c r="I8" s="53" t="s">
        <v>33</v>
      </c>
      <c r="J8" s="53"/>
      <c r="K8" s="53"/>
      <c r="L8" s="94" t="s">
        <v>69</v>
      </c>
      <c r="M8" s="95"/>
      <c r="N8" s="95"/>
      <c r="O8" s="95"/>
      <c r="P8" s="96" t="s">
        <v>68</v>
      </c>
      <c r="Q8" s="95"/>
      <c r="R8" s="95"/>
      <c r="S8" s="95"/>
      <c r="T8" s="87"/>
      <c r="U8" s="91"/>
      <c r="W8" s="125"/>
    </row>
    <row r="9" spans="1:26" s="34" customFormat="1" ht="18.75" thickTop="1" thickBot="1" x14ac:dyDescent="0.25">
      <c r="A9" s="33"/>
      <c r="B9" s="33" t="s">
        <v>31</v>
      </c>
      <c r="C9" s="33" t="s">
        <v>30</v>
      </c>
      <c r="D9" s="54" t="s">
        <v>71</v>
      </c>
      <c r="E9" s="33" t="s">
        <v>44</v>
      </c>
      <c r="F9" s="33" t="s">
        <v>81</v>
      </c>
      <c r="G9" s="33" t="s">
        <v>32</v>
      </c>
      <c r="H9" s="33" t="s">
        <v>4</v>
      </c>
      <c r="I9" s="33" t="s">
        <v>45</v>
      </c>
      <c r="J9" s="33"/>
      <c r="K9" s="33"/>
      <c r="L9" s="97" t="s">
        <v>56</v>
      </c>
      <c r="M9" s="98" t="s">
        <v>57</v>
      </c>
      <c r="N9" s="98" t="s">
        <v>58</v>
      </c>
      <c r="O9" s="98" t="s">
        <v>59</v>
      </c>
      <c r="P9" s="99" t="s">
        <v>0</v>
      </c>
      <c r="Q9" s="98" t="s">
        <v>1</v>
      </c>
      <c r="R9" s="98" t="s">
        <v>2</v>
      </c>
      <c r="S9" s="98" t="s">
        <v>3</v>
      </c>
      <c r="T9" s="88"/>
      <c r="U9" s="91"/>
      <c r="V9" s="2"/>
      <c r="W9" s="125"/>
      <c r="X9" s="2"/>
      <c r="Y9" s="2"/>
      <c r="Z9" s="2"/>
    </row>
    <row r="10" spans="1:26" ht="14.25" customHeight="1" thickTop="1" x14ac:dyDescent="0.25">
      <c r="B10" s="83"/>
      <c r="C10" s="82"/>
      <c r="D10" s="124"/>
      <c r="E10" s="22"/>
      <c r="F10" s="61"/>
      <c r="G10" s="77"/>
      <c r="H10" s="77"/>
      <c r="I10" s="68"/>
      <c r="J10" s="22"/>
      <c r="K10" s="22"/>
      <c r="L10" s="70"/>
      <c r="M10" s="11"/>
      <c r="N10" s="69"/>
      <c r="O10" s="69"/>
      <c r="P10" s="92"/>
      <c r="Q10" s="11"/>
      <c r="R10" s="16"/>
      <c r="S10" s="16"/>
      <c r="T10" s="89"/>
      <c r="U10" s="83" t="s">
        <v>78</v>
      </c>
      <c r="V10" s="82"/>
      <c r="W10" s="124"/>
      <c r="X10" s="22"/>
      <c r="Y10" s="61"/>
      <c r="Z10" s="77"/>
    </row>
    <row r="11" spans="1:26" ht="14.25" customHeight="1" x14ac:dyDescent="0.25">
      <c r="B11" s="83"/>
      <c r="C11" s="82"/>
      <c r="D11" s="124"/>
      <c r="E11" s="22"/>
      <c r="F11" s="61"/>
      <c r="G11" s="77"/>
      <c r="H11" s="77"/>
      <c r="I11" s="68"/>
      <c r="J11" s="22"/>
      <c r="K11" s="22"/>
      <c r="L11" s="70"/>
      <c r="M11" s="11"/>
      <c r="N11" s="69"/>
      <c r="O11" s="69"/>
      <c r="P11" s="92"/>
      <c r="Q11" s="11"/>
      <c r="R11" s="16"/>
      <c r="S11" s="16"/>
      <c r="T11" s="89"/>
      <c r="U11" s="83" t="s">
        <v>52</v>
      </c>
      <c r="V11" s="82">
        <v>10</v>
      </c>
      <c r="W11" s="124">
        <v>0.16327800000000001</v>
      </c>
      <c r="X11" s="22" t="s">
        <v>51</v>
      </c>
      <c r="Y11" s="61">
        <v>8.4930610000000001E-4</v>
      </c>
      <c r="Z11" s="77"/>
    </row>
    <row r="12" spans="1:26" ht="14.25" customHeight="1" x14ac:dyDescent="0.25">
      <c r="B12" s="83"/>
      <c r="C12" s="82"/>
      <c r="D12" s="124"/>
      <c r="E12" s="22"/>
      <c r="F12" s="61"/>
      <c r="G12" s="77"/>
      <c r="H12" s="77"/>
      <c r="I12" s="68"/>
      <c r="J12" s="22"/>
      <c r="K12" s="22"/>
      <c r="L12" s="70"/>
      <c r="M12" s="11"/>
      <c r="N12" s="69"/>
      <c r="O12" s="69"/>
      <c r="P12" s="92"/>
      <c r="Q12" s="11"/>
      <c r="R12" s="16"/>
      <c r="S12" s="16"/>
      <c r="T12" s="89"/>
      <c r="U12" s="83" t="s">
        <v>40</v>
      </c>
      <c r="V12" s="82">
        <v>10</v>
      </c>
      <c r="W12" s="124">
        <v>0.17318700000000001</v>
      </c>
      <c r="X12" s="22" t="s">
        <v>51</v>
      </c>
      <c r="Y12" s="61">
        <v>8.4930610000000001E-4</v>
      </c>
      <c r="Z12" s="77"/>
    </row>
    <row r="13" spans="1:26" ht="14.25" customHeight="1" x14ac:dyDescent="0.25">
      <c r="B13" s="83"/>
      <c r="C13" s="82"/>
      <c r="D13" s="124"/>
      <c r="E13" s="22"/>
      <c r="F13" s="61"/>
      <c r="G13" s="77"/>
      <c r="H13" s="77"/>
      <c r="I13" s="68"/>
      <c r="J13" s="22"/>
      <c r="K13" s="22"/>
      <c r="L13" s="70"/>
      <c r="M13" s="11"/>
      <c r="N13" s="69"/>
      <c r="O13" s="69"/>
      <c r="P13" s="92"/>
      <c r="Q13" s="11"/>
      <c r="R13" s="16"/>
      <c r="S13" s="16"/>
      <c r="T13" s="89"/>
      <c r="U13" s="91" t="s">
        <v>79</v>
      </c>
      <c r="W13" s="125"/>
    </row>
    <row r="14" spans="1:26" ht="14.25" customHeight="1" x14ac:dyDescent="0.25">
      <c r="B14" s="83"/>
      <c r="C14" s="82"/>
      <c r="D14" s="124"/>
      <c r="E14" s="22"/>
      <c r="F14" s="61"/>
      <c r="G14" s="77"/>
      <c r="H14" s="77"/>
      <c r="I14" s="68"/>
      <c r="J14" s="22"/>
      <c r="K14" s="22"/>
      <c r="L14" s="70"/>
      <c r="M14" s="11"/>
      <c r="N14" s="69"/>
      <c r="O14" s="69"/>
      <c r="P14" s="92"/>
      <c r="Q14" s="11"/>
      <c r="R14" s="16"/>
      <c r="S14" s="16"/>
      <c r="T14" s="89"/>
      <c r="U14" s="83" t="s">
        <v>66</v>
      </c>
      <c r="V14" s="82">
        <v>10</v>
      </c>
      <c r="W14" s="124">
        <v>0.16327800000000001</v>
      </c>
      <c r="X14" s="22" t="s">
        <v>51</v>
      </c>
      <c r="Y14" s="61">
        <v>8.4930610000000001E-4</v>
      </c>
      <c r="Z14" s="77"/>
    </row>
    <row r="15" spans="1:26" ht="14.25" customHeight="1" x14ac:dyDescent="0.25">
      <c r="B15" s="83"/>
      <c r="C15" s="82"/>
      <c r="D15" s="124"/>
      <c r="E15" s="22"/>
      <c r="F15" s="61"/>
      <c r="G15" s="77"/>
      <c r="H15" s="77"/>
      <c r="I15" s="68"/>
      <c r="J15" s="22"/>
      <c r="K15" s="22"/>
      <c r="L15" s="70"/>
      <c r="M15" s="11"/>
      <c r="N15" s="69"/>
      <c r="O15" s="69"/>
      <c r="P15" s="92"/>
      <c r="Q15" s="11"/>
      <c r="R15" s="16"/>
      <c r="S15" s="16"/>
      <c r="T15" s="89"/>
      <c r="U15" s="83" t="s">
        <v>80</v>
      </c>
      <c r="V15" s="82">
        <v>-10</v>
      </c>
      <c r="W15" s="124">
        <v>0.17318700000000001</v>
      </c>
      <c r="X15" s="22" t="s">
        <v>51</v>
      </c>
      <c r="Y15" s="61">
        <v>8.4930610000000001E-4</v>
      </c>
      <c r="Z15" s="77"/>
    </row>
    <row r="16" spans="1:26" ht="14.25" customHeight="1" x14ac:dyDescent="0.25">
      <c r="B16" s="83"/>
      <c r="C16" s="82"/>
      <c r="D16" s="124"/>
      <c r="E16" s="22"/>
      <c r="F16" s="61"/>
      <c r="G16" s="77"/>
      <c r="H16" s="77"/>
      <c r="I16" s="68"/>
      <c r="J16" s="22"/>
      <c r="K16" s="22"/>
      <c r="L16" s="70"/>
      <c r="M16" s="11"/>
      <c r="N16" s="69"/>
      <c r="O16" s="69"/>
      <c r="P16" s="92"/>
      <c r="Q16" s="11"/>
      <c r="R16" s="16"/>
      <c r="S16" s="16"/>
      <c r="T16" s="89"/>
      <c r="U16" s="83" t="s">
        <v>77</v>
      </c>
      <c r="V16" s="82"/>
      <c r="W16" s="124"/>
      <c r="X16" s="22"/>
      <c r="Y16" s="61"/>
      <c r="Z16" s="77"/>
    </row>
    <row r="17" spans="1:32" ht="14.25" customHeight="1" x14ac:dyDescent="0.25">
      <c r="B17" s="83"/>
      <c r="C17" s="82"/>
      <c r="D17" s="124"/>
      <c r="E17" s="22"/>
      <c r="F17" s="61"/>
      <c r="G17" s="77"/>
      <c r="H17" s="77"/>
      <c r="I17" s="68"/>
      <c r="J17" s="22"/>
      <c r="K17" s="22"/>
      <c r="L17" s="70"/>
      <c r="M17" s="11"/>
      <c r="N17" s="69"/>
      <c r="O17" s="69"/>
      <c r="P17" s="92"/>
      <c r="Q17" s="11"/>
      <c r="R17" s="16"/>
      <c r="S17" s="16"/>
      <c r="T17" s="89"/>
      <c r="U17" s="83" t="s">
        <v>73</v>
      </c>
      <c r="V17" s="82">
        <v>10</v>
      </c>
      <c r="W17" s="124">
        <v>0.16327800000000001</v>
      </c>
      <c r="X17" s="22" t="s">
        <v>51</v>
      </c>
      <c r="Y17" s="61">
        <v>8.4930610000000001E-4</v>
      </c>
      <c r="Z17" s="77"/>
    </row>
    <row r="18" spans="1:32" ht="14.25" customHeight="1" x14ac:dyDescent="0.25">
      <c r="B18" s="83"/>
      <c r="C18" s="82"/>
      <c r="D18" s="124"/>
      <c r="E18" s="22"/>
      <c r="F18" s="61"/>
      <c r="G18" s="77"/>
      <c r="H18" s="77"/>
      <c r="I18" s="68"/>
      <c r="J18" s="22"/>
      <c r="K18" s="22"/>
      <c r="L18" s="70"/>
      <c r="M18" s="11"/>
      <c r="N18" s="69"/>
      <c r="O18" s="69"/>
      <c r="P18" s="92"/>
      <c r="Q18" s="11"/>
      <c r="R18" s="16"/>
      <c r="S18" s="16"/>
      <c r="T18" s="89"/>
      <c r="U18" s="83" t="s">
        <v>74</v>
      </c>
      <c r="V18" s="82">
        <v>-10</v>
      </c>
      <c r="W18" s="124">
        <v>0.17318700000000001</v>
      </c>
      <c r="X18" s="22" t="s">
        <v>51</v>
      </c>
      <c r="Y18" s="61">
        <v>8.4930610000000001E-4</v>
      </c>
      <c r="Z18" s="89"/>
      <c r="AA18" s="8"/>
      <c r="AB18" s="82"/>
      <c r="AC18" s="77"/>
      <c r="AD18" s="81"/>
      <c r="AE18" s="22"/>
      <c r="AF18" s="61"/>
    </row>
    <row r="19" spans="1:32" ht="14.25" customHeight="1" x14ac:dyDescent="0.25">
      <c r="B19" s="83"/>
      <c r="C19" s="82"/>
      <c r="D19" s="124"/>
      <c r="E19" s="22"/>
      <c r="F19" s="61"/>
      <c r="G19" s="77"/>
      <c r="H19" s="77"/>
      <c r="I19" s="68"/>
      <c r="J19" s="22"/>
      <c r="K19" s="22"/>
      <c r="L19" s="70"/>
      <c r="M19" s="11"/>
      <c r="N19" s="69"/>
      <c r="O19" s="69"/>
      <c r="P19" s="92"/>
      <c r="Q19" s="11"/>
      <c r="R19" s="16"/>
      <c r="S19" s="16"/>
      <c r="T19" s="89"/>
      <c r="U19" s="83" t="s">
        <v>75</v>
      </c>
      <c r="V19" s="82">
        <v>10</v>
      </c>
      <c r="W19" s="124">
        <v>0.16327800000000001</v>
      </c>
      <c r="X19" s="22" t="s">
        <v>51</v>
      </c>
      <c r="Y19" s="61">
        <v>8.4930610000000001E-4</v>
      </c>
      <c r="Z19" s="89"/>
    </row>
    <row r="20" spans="1:32" ht="14.25" customHeight="1" thickBot="1" x14ac:dyDescent="0.3">
      <c r="B20" s="83"/>
      <c r="C20" s="82"/>
      <c r="D20" s="124"/>
      <c r="E20" s="22"/>
      <c r="F20" s="61"/>
      <c r="G20" s="77"/>
      <c r="H20" s="77"/>
      <c r="I20" s="68"/>
      <c r="J20" s="22"/>
      <c r="K20" s="22"/>
      <c r="L20" s="71"/>
      <c r="M20" s="11"/>
      <c r="N20" s="69"/>
      <c r="O20" s="69"/>
      <c r="P20" s="93"/>
      <c r="R20" s="16"/>
      <c r="S20" s="16"/>
      <c r="T20" s="89"/>
      <c r="U20" s="83" t="s">
        <v>76</v>
      </c>
      <c r="V20" s="82">
        <v>-10</v>
      </c>
      <c r="W20" s="124">
        <v>0.17318700000000001</v>
      </c>
      <c r="X20" s="22" t="s">
        <v>51</v>
      </c>
      <c r="Y20" s="61">
        <v>8.4930610000000001E-4</v>
      </c>
    </row>
    <row r="21" spans="1:32" ht="24" thickTop="1" x14ac:dyDescent="0.35">
      <c r="A21" s="12"/>
      <c r="B21" s="12"/>
      <c r="C21" s="13"/>
      <c r="D21" s="12"/>
      <c r="E21" s="21"/>
      <c r="F21" s="21"/>
      <c r="G21" s="21"/>
      <c r="H21" s="21"/>
      <c r="I21" s="21"/>
      <c r="J21" s="21"/>
      <c r="K21" s="18"/>
      <c r="L21" s="18"/>
      <c r="M21" s="19"/>
      <c r="N21" s="19"/>
      <c r="O21" s="14"/>
      <c r="P21" s="14"/>
      <c r="Q21" s="14"/>
      <c r="R21" s="14"/>
      <c r="S21" s="14"/>
      <c r="T21" s="90"/>
      <c r="U21" s="90"/>
      <c r="V21" s="90"/>
      <c r="W21" s="90"/>
      <c r="X21" s="90"/>
      <c r="Y21" s="90"/>
    </row>
    <row r="22" spans="1:32" ht="52.5" thickBot="1" x14ac:dyDescent="0.45">
      <c r="B22" s="4"/>
      <c r="C22" s="106" t="s">
        <v>37</v>
      </c>
      <c r="D22" s="39"/>
      <c r="E22" s="39"/>
      <c r="F22" s="39"/>
      <c r="G22" s="63" t="s">
        <v>46</v>
      </c>
      <c r="H22" s="40"/>
      <c r="I22" s="100" t="s">
        <v>54</v>
      </c>
      <c r="J22" s="101"/>
      <c r="K22" s="101"/>
      <c r="L22" s="100" t="s">
        <v>55</v>
      </c>
      <c r="M22" s="100" t="s">
        <v>43</v>
      </c>
      <c r="N22" s="100" t="s">
        <v>47</v>
      </c>
      <c r="P22" s="102" t="s">
        <v>38</v>
      </c>
      <c r="Q22" s="24"/>
      <c r="R22" s="24"/>
      <c r="S22" s="24"/>
      <c r="T22" s="24"/>
      <c r="U22" s="24"/>
      <c r="V22" s="24"/>
      <c r="W22" s="24"/>
      <c r="X22" s="26"/>
      <c r="Y22" s="24"/>
      <c r="Z22" s="15"/>
      <c r="AA22" s="15"/>
    </row>
    <row r="23" spans="1:32" ht="19.5" x14ac:dyDescent="0.3">
      <c r="B23" s="5"/>
      <c r="C23"/>
      <c r="D23" s="23"/>
      <c r="E23" s="113"/>
      <c r="F23" s="115" t="s">
        <v>41</v>
      </c>
      <c r="G23" s="108"/>
      <c r="H23" s="108"/>
      <c r="I23" s="109">
        <f>SUM(L10:L20)</f>
        <v>0</v>
      </c>
      <c r="J23" s="108"/>
      <c r="K23" s="108"/>
      <c r="L23" s="110">
        <f>SUM(M10:M20)</f>
        <v>0</v>
      </c>
      <c r="M23" s="111">
        <f>SUM(N10:N20)</f>
        <v>0</v>
      </c>
      <c r="N23" s="112">
        <f>SUM(O10:O20)</f>
        <v>0</v>
      </c>
      <c r="P23" s="55"/>
      <c r="Q23" s="34"/>
      <c r="R23" s="103" t="s">
        <v>62</v>
      </c>
      <c r="S23" s="73" t="s">
        <v>65</v>
      </c>
      <c r="T23" s="64"/>
      <c r="U23" s="66" t="s">
        <v>49</v>
      </c>
      <c r="V23" s="66" t="s">
        <v>48</v>
      </c>
      <c r="W23" s="66" t="s">
        <v>50</v>
      </c>
      <c r="X23" s="65"/>
      <c r="Y23" s="65"/>
      <c r="Z23" s="15"/>
      <c r="AA23" s="15"/>
    </row>
    <row r="24" spans="1:32" ht="20.25" thickBot="1" x14ac:dyDescent="0.4">
      <c r="B24" s="4"/>
      <c r="C24" s="27"/>
      <c r="D24" s="24"/>
      <c r="E24" s="114"/>
      <c r="F24" s="116" t="s">
        <v>42</v>
      </c>
      <c r="G24" s="118">
        <f>SUM(I10:I20)</f>
        <v>0</v>
      </c>
      <c r="H24" s="119"/>
      <c r="I24" s="120">
        <f>+I23*1000*IndexPrice/1000000</f>
        <v>0</v>
      </c>
      <c r="J24" s="119"/>
      <c r="K24" s="119"/>
      <c r="L24" s="118">
        <f>+L23*1000*IndexPrice/1000000</f>
        <v>0</v>
      </c>
      <c r="M24" s="118">
        <f>+M23*1000/1000</f>
        <v>0</v>
      </c>
      <c r="N24" s="121">
        <f>+N23*1000/1000</f>
        <v>0</v>
      </c>
      <c r="P24" s="55"/>
      <c r="Q24" s="34"/>
      <c r="R24" s="103" t="s">
        <v>39</v>
      </c>
      <c r="S24" s="74">
        <v>0.2</v>
      </c>
      <c r="T24" s="20"/>
      <c r="U24" s="72" t="s">
        <v>60</v>
      </c>
      <c r="X24" s="20"/>
      <c r="Z24" s="15"/>
      <c r="AA24" s="15"/>
    </row>
    <row r="25" spans="1:32" ht="20.25" thickBot="1" x14ac:dyDescent="0.4">
      <c r="B25" s="4"/>
      <c r="C25" s="62"/>
      <c r="D25" s="15"/>
      <c r="E25" s="17"/>
      <c r="F25" s="17"/>
      <c r="G25" s="31"/>
      <c r="H25" s="32"/>
      <c r="I25" s="32"/>
      <c r="J25" s="32"/>
      <c r="K25" s="31"/>
      <c r="L25" s="31"/>
      <c r="M25" s="31"/>
      <c r="N25" s="31"/>
      <c r="P25" s="56"/>
      <c r="Q25" s="104"/>
      <c r="R25" s="105" t="s">
        <v>61</v>
      </c>
      <c r="S25" s="75" t="s">
        <v>9</v>
      </c>
      <c r="T25" s="56"/>
      <c r="U25" s="67" t="s">
        <v>9</v>
      </c>
      <c r="V25" s="67" t="s">
        <v>5</v>
      </c>
      <c r="W25" s="67" t="s">
        <v>6</v>
      </c>
      <c r="X25" s="67" t="s">
        <v>7</v>
      </c>
      <c r="Y25" s="67" t="s">
        <v>8</v>
      </c>
      <c r="Z25" s="15"/>
      <c r="AA25" s="15"/>
    </row>
    <row r="26" spans="1:32" x14ac:dyDescent="0.15">
      <c r="B26" s="4"/>
      <c r="C26" s="62"/>
      <c r="D26" s="15"/>
      <c r="E26" s="15"/>
      <c r="F26" s="15"/>
      <c r="G26" s="15"/>
      <c r="H26" s="15"/>
      <c r="I26" s="15"/>
      <c r="J26" s="15"/>
      <c r="K26" s="62"/>
      <c r="L26" s="15"/>
      <c r="M26" s="15"/>
      <c r="N26" s="15"/>
      <c r="P26" s="3"/>
      <c r="S26" s="3"/>
      <c r="U26" s="35"/>
      <c r="V26" s="2" t="s">
        <v>63</v>
      </c>
    </row>
    <row r="27" spans="1:32" ht="20.25" thickBot="1" x14ac:dyDescent="0.4">
      <c r="P27" s="117" t="s">
        <v>64</v>
      </c>
      <c r="R27" s="114" t="s">
        <v>65</v>
      </c>
      <c r="S27" s="114" t="s">
        <v>9</v>
      </c>
      <c r="T27" s="25"/>
    </row>
    <row r="28" spans="1:32" x14ac:dyDescent="0.15">
      <c r="P28" s="62"/>
      <c r="Q28" s="15"/>
      <c r="R28" s="78"/>
      <c r="S28" s="28"/>
      <c r="U28" s="80"/>
    </row>
    <row r="29" spans="1:32" x14ac:dyDescent="0.15">
      <c r="P29" s="62"/>
      <c r="Q29" s="15"/>
      <c r="R29" s="78"/>
      <c r="S29" s="28"/>
      <c r="U29" s="80"/>
    </row>
    <row r="30" spans="1:32" x14ac:dyDescent="0.15">
      <c r="P30" s="62"/>
      <c r="Q30" s="15"/>
      <c r="R30" s="78"/>
      <c r="S30" s="28"/>
    </row>
    <row r="31" spans="1:32" x14ac:dyDescent="0.15">
      <c r="P31" s="62"/>
      <c r="Q31" s="15"/>
      <c r="R31" s="78"/>
      <c r="S31" s="28"/>
    </row>
    <row r="32" spans="1:32" x14ac:dyDescent="0.15">
      <c r="P32" s="15"/>
      <c r="Q32" s="15"/>
      <c r="R32" s="78"/>
      <c r="S32" s="28"/>
    </row>
    <row r="33" spans="16:19" x14ac:dyDescent="0.15">
      <c r="P33" s="15"/>
      <c r="Q33" s="15"/>
      <c r="R33" s="78"/>
      <c r="S33" s="28"/>
    </row>
    <row r="34" spans="16:19" x14ac:dyDescent="0.15">
      <c r="P34" s="15"/>
      <c r="Q34" s="15"/>
      <c r="R34" s="78"/>
      <c r="S34" s="28"/>
    </row>
    <row r="35" spans="16:19" x14ac:dyDescent="0.15">
      <c r="P35" s="15"/>
      <c r="Q35" s="15"/>
      <c r="R35" s="78"/>
      <c r="S35" s="28"/>
    </row>
    <row r="36" spans="16:19" x14ac:dyDescent="0.15">
      <c r="P36" s="15"/>
      <c r="Q36" s="15"/>
      <c r="R36" s="78"/>
      <c r="S36" s="28"/>
    </row>
    <row r="37" spans="16:19" x14ac:dyDescent="0.15">
      <c r="P37" s="15"/>
      <c r="Q37" s="15"/>
      <c r="R37" s="78"/>
      <c r="S37" s="28"/>
    </row>
    <row r="38" spans="16:19" x14ac:dyDescent="0.15">
      <c r="P38" s="15"/>
      <c r="Q38" s="15"/>
      <c r="R38" s="78"/>
      <c r="S38" s="28"/>
    </row>
    <row r="39" spans="16:19" x14ac:dyDescent="0.15">
      <c r="P39" s="15"/>
      <c r="Q39" s="15"/>
      <c r="R39" s="78"/>
      <c r="S39" s="28"/>
    </row>
    <row r="40" spans="16:19" x14ac:dyDescent="0.15">
      <c r="P40" s="15"/>
      <c r="Q40" s="15"/>
      <c r="R40" s="78"/>
      <c r="S40" s="28"/>
    </row>
    <row r="41" spans="16:19" x14ac:dyDescent="0.15">
      <c r="P41" s="15"/>
      <c r="Q41" s="15"/>
      <c r="R41" s="78"/>
      <c r="S41" s="28"/>
    </row>
    <row r="42" spans="16:19" x14ac:dyDescent="0.15">
      <c r="P42" s="15"/>
      <c r="Q42" s="15"/>
      <c r="R42" s="78"/>
      <c r="S42" s="28"/>
    </row>
    <row r="43" spans="16:19" x14ac:dyDescent="0.15">
      <c r="P43" s="15"/>
      <c r="Q43" s="15"/>
      <c r="R43" s="78"/>
      <c r="S43" s="28"/>
    </row>
    <row r="44" spans="16:19" x14ac:dyDescent="0.15">
      <c r="P44" s="15"/>
      <c r="Q44" s="15"/>
      <c r="R44" s="78"/>
      <c r="S44" s="28"/>
    </row>
    <row r="45" spans="16:19" x14ac:dyDescent="0.15">
      <c r="P45" s="15"/>
      <c r="Q45" s="15"/>
      <c r="R45" s="78"/>
      <c r="S45" s="28"/>
    </row>
    <row r="46" spans="16:19" x14ac:dyDescent="0.15">
      <c r="P46" s="15"/>
      <c r="Q46" s="15"/>
      <c r="R46" s="78"/>
      <c r="S46" s="28"/>
    </row>
    <row r="47" spans="16:19" x14ac:dyDescent="0.15">
      <c r="P47" s="15"/>
      <c r="Q47" s="15"/>
      <c r="R47" s="78"/>
      <c r="S47" s="28"/>
    </row>
    <row r="48" spans="16:19" ht="14.25" thickBot="1" x14ac:dyDescent="0.2">
      <c r="P48" s="15"/>
      <c r="Q48" s="15"/>
      <c r="R48" s="79"/>
      <c r="S48" s="76"/>
    </row>
    <row r="49" spans="16:17" x14ac:dyDescent="0.15">
      <c r="P49" s="15"/>
      <c r="Q49" s="15"/>
    </row>
    <row r="50" spans="16:17" x14ac:dyDescent="0.15">
      <c r="P50" s="15"/>
      <c r="Q50" s="15"/>
    </row>
    <row r="51" spans="16:17" x14ac:dyDescent="0.15">
      <c r="P51" s="15"/>
      <c r="Q51" s="15"/>
    </row>
    <row r="52" spans="16:17" x14ac:dyDescent="0.15">
      <c r="P52" s="15"/>
      <c r="Q52" s="15"/>
    </row>
    <row r="53" spans="16:17" x14ac:dyDescent="0.15">
      <c r="P53" s="15"/>
      <c r="Q53" s="15"/>
    </row>
    <row r="54" spans="16:17" x14ac:dyDescent="0.15">
      <c r="P54" s="15"/>
      <c r="Q54" s="15"/>
    </row>
    <row r="55" spans="16:17" x14ac:dyDescent="0.15">
      <c r="P55" s="15"/>
      <c r="Q55" s="15"/>
    </row>
  </sheetData>
  <phoneticPr fontId="8"/>
  <pageMargins left="0.25" right="0.25" top="0.75" bottom="0.75" header="0.3" footer="0.3"/>
  <pageSetup paperSize="9" scale="56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56E3-858F-47F4-87DB-0A3C821EEC70}">
  <sheetPr codeName="Sheet1"/>
  <dimension ref="A1"/>
  <sheetViews>
    <sheetView showGridLines="0" zoomScale="145" zoomScaleNormal="145" workbookViewId="0">
      <selection activeCell="V14" sqref="V13:V14"/>
    </sheetView>
  </sheetViews>
  <sheetFormatPr defaultRowHeight="13.5" x14ac:dyDescent="0.15"/>
  <sheetData/>
  <phoneticPr fontId="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emp"/>
  <dimension ref="A1:T2"/>
  <sheetViews>
    <sheetView workbookViewId="0">
      <selection activeCell="G40" sqref="G40"/>
    </sheetView>
  </sheetViews>
  <sheetFormatPr defaultRowHeight="13.5" x14ac:dyDescent="0.15"/>
  <sheetData>
    <row r="1" spans="1:20" x14ac:dyDescent="0.15">
      <c r="A1" t="s">
        <v>29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10</v>
      </c>
      <c r="J1" t="s">
        <v>28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11</v>
      </c>
      <c r="S1" t="s">
        <v>12</v>
      </c>
      <c r="T1" t="s">
        <v>13</v>
      </c>
    </row>
    <row r="2" spans="1:20" x14ac:dyDescent="0.15">
      <c r="A2">
        <v>2</v>
      </c>
      <c r="B2">
        <v>-2</v>
      </c>
      <c r="C2">
        <v>-8</v>
      </c>
      <c r="D2">
        <v>-10</v>
      </c>
      <c r="E2">
        <v>-12</v>
      </c>
      <c r="F2">
        <v>-11</v>
      </c>
      <c r="G2">
        <v>9</v>
      </c>
      <c r="H2">
        <v>3</v>
      </c>
      <c r="I2">
        <v>6</v>
      </c>
      <c r="J2">
        <v>-278</v>
      </c>
      <c r="K2">
        <v>100</v>
      </c>
      <c r="L2">
        <v>-130</v>
      </c>
      <c r="M2">
        <v>600</v>
      </c>
      <c r="N2">
        <v>30</v>
      </c>
      <c r="O2">
        <v>75</v>
      </c>
      <c r="P2">
        <v>0</v>
      </c>
      <c r="Q2">
        <v>9</v>
      </c>
      <c r="R2">
        <v>-75</v>
      </c>
      <c r="S2">
        <v>75</v>
      </c>
      <c r="T2">
        <v>14</v>
      </c>
    </row>
  </sheetData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22</vt:i4>
      </vt:variant>
    </vt:vector>
  </HeadingPairs>
  <TitlesOfParts>
    <vt:vector size="25" baseType="lpstr">
      <vt:lpstr>NKYOption</vt:lpstr>
      <vt:lpstr>解説</vt:lpstr>
      <vt:lpstr>shTemp</vt:lpstr>
      <vt:lpstr>ChangeParam</vt:lpstr>
      <vt:lpstr>ChangeRange</vt:lpstr>
      <vt:lpstr>EqArea</vt:lpstr>
      <vt:lpstr>eqDataRange</vt:lpstr>
      <vt:lpstr>eToday</vt:lpstr>
      <vt:lpstr>graphDataArea</vt:lpstr>
      <vt:lpstr>IndexPrice</vt:lpstr>
      <vt:lpstr>input</vt:lpstr>
      <vt:lpstr>InputParamArea</vt:lpstr>
      <vt:lpstr>Int</vt:lpstr>
      <vt:lpstr>outParamArea</vt:lpstr>
      <vt:lpstr>output</vt:lpstr>
      <vt:lpstr>OutputParam</vt:lpstr>
      <vt:lpstr>NKYOption!Print_Area</vt:lpstr>
      <vt:lpstr>volaRange</vt:lpstr>
      <vt:lpstr>xTitle</vt:lpstr>
      <vt:lpstr>YenDelta</vt:lpstr>
      <vt:lpstr>YenGamma</vt:lpstr>
      <vt:lpstr>YenPL</vt:lpstr>
      <vt:lpstr>YenTheta</vt:lpstr>
      <vt:lpstr>YenVega</vt:lpstr>
      <vt:lpstr>yTitle</vt:lpstr>
    </vt:vector>
  </TitlesOfParts>
  <Company>安田火災海上保険株式会社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cp:lastPrinted>2019-09-06T01:53:03Z</cp:lastPrinted>
  <dcterms:created xsi:type="dcterms:W3CDTF">1998-05-18T09:30:00Z</dcterms:created>
  <dcterms:modified xsi:type="dcterms:W3CDTF">2021-01-23T07:23:32Z</dcterms:modified>
</cp:coreProperties>
</file>