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asumasa\Documents\VBA\"/>
    </mc:Choice>
  </mc:AlternateContent>
  <xr:revisionPtr revIDLastSave="0" documentId="13_ncr:1_{573331BE-7B6A-4CC4-93A8-D588F2635A4B}" xr6:coauthVersionLast="46" xr6:coauthVersionMax="46" xr10:uidLastSave="{00000000-0000-0000-0000-000000000000}"/>
  <bookViews>
    <workbookView xWindow="-120" yWindow="-120" windowWidth="38640" windowHeight="21150" activeTab="1" xr2:uid="{0D32A256-0200-4F95-8767-241CB4AC8A3A}"/>
  </bookViews>
  <sheets>
    <sheet name="説明" sheetId="2" r:id="rId1"/>
    <sheet name="ファクターの計算例" sheetId="1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5" i="1" l="1" a="1"/>
  <c r="I5" i="1" a="1"/>
  <c r="I23" i="1" a="1"/>
  <c r="K19" i="1" a="1"/>
  <c r="I17" i="1" a="1"/>
  <c r="J14" i="1" a="1"/>
  <c r="J10" i="1" a="1"/>
  <c r="I8" i="1" a="1"/>
  <c r="K9" i="1" a="1"/>
  <c r="J23" i="1" a="1"/>
  <c r="K20" i="1" a="1"/>
  <c r="I18" i="1" a="1"/>
  <c r="J15" i="1" a="1"/>
  <c r="K12" i="1" a="1"/>
  <c r="I10" i="1" a="1"/>
  <c r="K5" i="1" a="1"/>
  <c r="J6" i="1" a="1"/>
  <c r="K16" i="1" a="1"/>
  <c r="K8" i="1" a="1"/>
  <c r="K23" i="1" a="1"/>
  <c r="K11" i="1" a="1"/>
  <c r="K6" i="1" a="1"/>
  <c r="I16" i="1" a="1"/>
  <c r="J7" i="1" a="1"/>
  <c r="I6" i="1" a="1"/>
  <c r="K21" i="1" a="1"/>
  <c r="I19" i="1" a="1"/>
  <c r="J16" i="1" a="1"/>
  <c r="I13" i="1" a="1"/>
  <c r="I9" i="1" a="1"/>
  <c r="J22" i="1" a="1"/>
  <c r="K7" i="1" a="1"/>
  <c r="K22" i="1" a="1"/>
  <c r="I20" i="1" a="1"/>
  <c r="J17" i="1" a="1"/>
  <c r="K14" i="1" a="1"/>
  <c r="I12" i="1" a="1"/>
  <c r="J9" i="1" a="1"/>
  <c r="K13" i="1" a="1"/>
  <c r="I14" i="1" a="1"/>
  <c r="J20" i="1" a="1"/>
  <c r="I15" i="1" a="1"/>
  <c r="I11" i="1" a="1"/>
  <c r="K18" i="1" a="1"/>
  <c r="K10" i="1" a="1"/>
  <c r="I21" i="1" a="1"/>
  <c r="J18" i="1" a="1"/>
  <c r="K15" i="1" a="1"/>
  <c r="J12" i="1" a="1"/>
  <c r="J8" i="1" a="1"/>
  <c r="I22" i="1" a="1"/>
  <c r="J19" i="1" a="1"/>
  <c r="J11" i="1" a="1"/>
  <c r="K17" i="1" a="1"/>
  <c r="I7" i="1" a="1"/>
  <c r="J21" i="1" a="1"/>
  <c r="J13" i="1" a="1"/>
  <c r="J5" i="1" l="1"/>
  <c r="I5" i="1"/>
  <c r="J13" i="1"/>
  <c r="J21" i="1"/>
  <c r="I7" i="1"/>
  <c r="K17" i="1"/>
  <c r="J11" i="1"/>
  <c r="J19" i="1"/>
  <c r="I22" i="1"/>
  <c r="J8" i="1"/>
  <c r="J12" i="1"/>
  <c r="K15" i="1"/>
  <c r="J18" i="1"/>
  <c r="I21" i="1"/>
  <c r="K10" i="1"/>
  <c r="K18" i="1"/>
  <c r="I11" i="1"/>
  <c r="M11" i="1" s="1"/>
  <c r="I15" i="1"/>
  <c r="M15" i="1" s="1"/>
  <c r="J20" i="1"/>
  <c r="I14" i="1"/>
  <c r="K13" i="1"/>
  <c r="J9" i="1"/>
  <c r="I12" i="1"/>
  <c r="K14" i="1"/>
  <c r="J17" i="1"/>
  <c r="I20" i="1"/>
  <c r="M20" i="1" s="1"/>
  <c r="K22" i="1"/>
  <c r="K7" i="1"/>
  <c r="J22" i="1"/>
  <c r="I9" i="1"/>
  <c r="M9" i="1" s="1"/>
  <c r="I13" i="1"/>
  <c r="J16" i="1"/>
  <c r="I19" i="1"/>
  <c r="M19" i="1" s="1"/>
  <c r="K21" i="1"/>
  <c r="I6" i="1"/>
  <c r="J7" i="1"/>
  <c r="I16" i="1"/>
  <c r="K6" i="1"/>
  <c r="K11" i="1"/>
  <c r="K23" i="1"/>
  <c r="K8" i="1"/>
  <c r="K16" i="1"/>
  <c r="J6" i="1"/>
  <c r="K5" i="1"/>
  <c r="I10" i="1"/>
  <c r="K12" i="1"/>
  <c r="J15" i="1"/>
  <c r="I18" i="1"/>
  <c r="M18" i="1" s="1"/>
  <c r="K20" i="1"/>
  <c r="J23" i="1"/>
  <c r="K9" i="1"/>
  <c r="I8" i="1"/>
  <c r="M8" i="1" s="1"/>
  <c r="J10" i="1"/>
  <c r="J14" i="1"/>
  <c r="I17" i="1"/>
  <c r="K19" i="1"/>
  <c r="I23" i="1"/>
  <c r="M23" i="1" l="1"/>
  <c r="M10" i="1"/>
  <c r="M16" i="1"/>
  <c r="M21" i="1"/>
  <c r="M14" i="1"/>
  <c r="M22" i="1"/>
  <c r="M7" i="1"/>
  <c r="M17" i="1"/>
  <c r="M6" i="1"/>
  <c r="M13" i="1"/>
  <c r="M12" i="1"/>
  <c r="M5" i="1"/>
  <c r="N23" i="1" a="1"/>
  <c r="N13" i="1" a="1"/>
  <c r="N8" i="1" a="1"/>
  <c r="N9" i="1" a="1"/>
  <c r="N10" i="1" a="1"/>
  <c r="N7" i="1" a="1"/>
  <c r="N19" i="1" a="1"/>
  <c r="N12" i="1" a="1"/>
  <c r="N17" i="1" a="1"/>
  <c r="N14" i="1" a="1"/>
  <c r="N11" i="1" a="1"/>
  <c r="N21" i="1" a="1"/>
  <c r="N16" i="1" a="1"/>
  <c r="N18" i="1" a="1"/>
  <c r="N5" i="1" a="1"/>
  <c r="N22" i="1" a="1"/>
  <c r="N6" i="1" a="1"/>
  <c r="N20" i="1" a="1"/>
  <c r="N15" i="1" a="1"/>
  <c r="N15" i="1" l="1"/>
  <c r="N20" i="1"/>
  <c r="N6" i="1"/>
  <c r="N22" i="1"/>
  <c r="N5" i="1"/>
  <c r="N18" i="1"/>
  <c r="N16" i="1"/>
  <c r="N21" i="1"/>
  <c r="N11" i="1"/>
  <c r="N14" i="1"/>
  <c r="N17" i="1"/>
  <c r="N12" i="1"/>
  <c r="N19" i="1"/>
  <c r="N7" i="1"/>
  <c r="N10" i="1"/>
  <c r="N9" i="1"/>
  <c r="N8" i="1"/>
  <c r="N13" i="1"/>
  <c r="N2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<sst xmlns="http://schemas.openxmlformats.org/spreadsheetml/2006/main" count="92" uniqueCount="48">
  <si>
    <t>code</t>
  </si>
  <si>
    <t>銘柄</t>
  </si>
  <si>
    <t>時価（億）</t>
  </si>
  <si>
    <t>ROE</t>
  </si>
  <si>
    <t>1ヶ月ﾘﾀﾝ</t>
  </si>
  <si>
    <t>1414</t>
  </si>
  <si>
    <t>ショーボンド</t>
  </si>
  <si>
    <t>1605</t>
  </si>
  <si>
    <t>国際帝石</t>
  </si>
  <si>
    <t>1721</t>
  </si>
  <si>
    <t>コムシスＨＤ</t>
  </si>
  <si>
    <t>1801</t>
  </si>
  <si>
    <t>大成建</t>
  </si>
  <si>
    <t>1802</t>
  </si>
  <si>
    <t>大林組</t>
  </si>
  <si>
    <t>1803</t>
  </si>
  <si>
    <t>清水建</t>
  </si>
  <si>
    <t>1808</t>
  </si>
  <si>
    <t>長谷工</t>
  </si>
  <si>
    <t>1812</t>
  </si>
  <si>
    <t>鹿島</t>
  </si>
  <si>
    <t>1860</t>
  </si>
  <si>
    <t>戸田建</t>
  </si>
  <si>
    <t>1878</t>
  </si>
  <si>
    <t>大東建</t>
  </si>
  <si>
    <t>1881</t>
  </si>
  <si>
    <t>ＮＩＰＰＯ</t>
  </si>
  <si>
    <t>1893</t>
  </si>
  <si>
    <t>五洋建</t>
  </si>
  <si>
    <t>1911</t>
  </si>
  <si>
    <t>住友林</t>
  </si>
  <si>
    <t>1925</t>
  </si>
  <si>
    <t>大和ハウス</t>
  </si>
  <si>
    <t>1928</t>
  </si>
  <si>
    <t>積水ハウス</t>
  </si>
  <si>
    <t>1944</t>
  </si>
  <si>
    <t>きんでん</t>
  </si>
  <si>
    <t>1951</t>
  </si>
  <si>
    <t>協エクシオ</t>
  </si>
  <si>
    <t>1959</t>
  </si>
  <si>
    <t>九電工</t>
  </si>
  <si>
    <t>1963</t>
  </si>
  <si>
    <t>日揮</t>
  </si>
  <si>
    <t>生データ</t>
    <rPh sb="0" eb="1">
      <t>ナマ</t>
    </rPh>
    <phoneticPr fontId="1"/>
  </si>
  <si>
    <t>合成ファクター</t>
    <rPh sb="0" eb="2">
      <t>ゴウセイ</t>
    </rPh>
    <phoneticPr fontId="1"/>
  </si>
  <si>
    <t>基準化</t>
    <rPh sb="0" eb="3">
      <t>キジュンカ</t>
    </rPh>
    <phoneticPr fontId="1"/>
  </si>
  <si>
    <t>　　サンプルデータ（だいぶ過去のものです）</t>
    <rPh sb="13" eb="15">
      <t>カコ</t>
    </rPh>
    <phoneticPr fontId="1"/>
  </si>
  <si>
    <t>cmpFactorでスケーリングしたデータ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</si>
</sst>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"/>
    <numFmt numFmtId="177" formatCode="#,##0.00_ 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0" fontId="0" fillId="2" borderId="0" xfId="0" applyFill="1" applyAlignment="1">
      <alignment horizontal="center" vertical="center"/>
    </xf>
    <xf numFmtId="0" fontId="0" fillId="2" borderId="0" xfId="0" applyFill="1">
      <alignment vertical="center"/>
    </xf>
    <xf numFmtId="1" fontId="0" fillId="0" borderId="0" xfId="0" applyNumberFormat="1" applyAlignment="1">
      <alignment horizontal="center" vertical="center"/>
    </xf>
    <xf numFmtId="1" fontId="0" fillId="0" borderId="0" xfId="0" applyNumberFormat="1">
      <alignment vertical="center"/>
    </xf>
    <xf numFmtId="3" fontId="0" fillId="0" borderId="0" xfId="0" applyNumberFormat="1">
      <alignment vertical="center"/>
    </xf>
    <xf numFmtId="176" fontId="0" fillId="0" borderId="0" xfId="0" applyNumberFormat="1">
      <alignment vertical="center"/>
    </xf>
    <xf numFmtId="2" fontId="0" fillId="0" borderId="0" xfId="0" applyNumberFormat="1">
      <alignment vertical="center"/>
    </xf>
    <xf numFmtId="1" fontId="0" fillId="0" borderId="0" xfId="0" applyNumberFormat="1" applyBorder="1" applyAlignment="1">
      <alignment horizontal="center" vertical="center"/>
    </xf>
    <xf numFmtId="1" fontId="0" fillId="0" borderId="0" xfId="0" applyNumberFormat="1" applyBorder="1">
      <alignment vertical="center"/>
    </xf>
    <xf numFmtId="3" fontId="0" fillId="0" borderId="0" xfId="0" applyNumberFormat="1" applyBorder="1">
      <alignment vertical="center"/>
    </xf>
    <xf numFmtId="176" fontId="0" fillId="0" borderId="0" xfId="0" applyNumberFormat="1" applyBorder="1">
      <alignment vertical="center"/>
    </xf>
    <xf numFmtId="2" fontId="0" fillId="0" borderId="0" xfId="0" applyNumberFormat="1" applyBorder="1">
      <alignment vertical="center"/>
    </xf>
    <xf numFmtId="1" fontId="0" fillId="0" borderId="0" xfId="0" quotePrefix="1" applyNumberFormat="1" applyBorder="1" applyAlignment="1">
      <alignment horizontal="center" vertical="center"/>
    </xf>
    <xf numFmtId="0" fontId="0" fillId="0" borderId="0" xfId="0" applyBorder="1">
      <alignment vertical="center"/>
    </xf>
    <xf numFmtId="0" fontId="0" fillId="2" borderId="0" xfId="0" applyFill="1" applyAlignment="1">
      <alignment horizontal="right" vertical="center"/>
    </xf>
    <xf numFmtId="0" fontId="0" fillId="2" borderId="0" xfId="0" quotePrefix="1" applyFill="1" applyAlignment="1">
      <alignment horizontal="right" vertical="center"/>
    </xf>
    <xf numFmtId="4" fontId="0" fillId="0" borderId="0" xfId="0" applyNumberFormat="1">
      <alignment vertical="center"/>
    </xf>
    <xf numFmtId="177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171450</xdr:colOff>
      <xdr:row>0</xdr:row>
      <xdr:rowOff>57149</xdr:rowOff>
    </xdr:from>
    <xdr:to>
      <xdr:col>17</xdr:col>
      <xdr:colOff>666750</xdr:colOff>
      <xdr:row>43</xdr:row>
      <xdr:rowOff>171450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2BFE6310-1A02-4C8D-B4C0-82345269B539}"/>
            </a:ext>
          </a:extLst>
        </xdr:cNvPr>
        <xdr:cNvSpPr txBox="1"/>
      </xdr:nvSpPr>
      <xdr:spPr>
        <a:xfrm>
          <a:off x="171450" y="57149"/>
          <a:ext cx="12153900" cy="1035367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2400"/>
            <a:t>～ ポイント～</a:t>
          </a:r>
          <a:endParaRPr kumimoji="1" lang="en-US" altLang="ja-JP" sz="2400"/>
        </a:p>
        <a:p>
          <a:r>
            <a:rPr kumimoji="1" lang="en-US" altLang="ja-JP" sz="2400"/>
            <a:t>Count</a:t>
          </a:r>
          <a:r>
            <a:rPr kumimoji="1" lang="ja-JP" altLang="en-US" sz="2400"/>
            <a:t>関数でデータの個数を計算</a:t>
          </a:r>
          <a:endParaRPr kumimoji="1" lang="en-US" altLang="ja-JP" sz="2400"/>
        </a:p>
        <a:p>
          <a:r>
            <a:rPr kumimoji="1" lang="en-US" altLang="ja-JP" sz="2400"/>
            <a:t>Rank</a:t>
          </a:r>
          <a:r>
            <a:rPr kumimoji="1" lang="ja-JP" altLang="en-US" sz="2400"/>
            <a:t>関数でソートしないで下から何番目かを計算</a:t>
          </a:r>
          <a:endParaRPr kumimoji="1" lang="en-US" altLang="ja-JP" sz="2400"/>
        </a:p>
        <a:p>
          <a:r>
            <a:rPr kumimoji="1" lang="en-US" altLang="ja-JP" sz="2400"/>
            <a:t>Rank / Count </a:t>
          </a:r>
          <a:r>
            <a:rPr kumimoji="1" lang="ja-JP" altLang="en-US" sz="2400"/>
            <a:t>で確率値に変換</a:t>
          </a:r>
          <a:endParaRPr kumimoji="1" lang="en-US" altLang="ja-JP" sz="2400"/>
        </a:p>
        <a:p>
          <a:r>
            <a:rPr kumimoji="1" lang="en-US" altLang="ja-JP" sz="2400"/>
            <a:t>NormInv</a:t>
          </a:r>
          <a:r>
            <a:rPr kumimoji="1" lang="ja-JP" altLang="en-US" sz="2400"/>
            <a:t>で累積正規密度関数の逆関数で</a:t>
          </a:r>
          <a:r>
            <a:rPr kumimoji="1" lang="en-US" altLang="ja-JP" sz="2400"/>
            <a:t>X</a:t>
          </a:r>
          <a:r>
            <a:rPr kumimoji="1" lang="ja-JP" altLang="en-US" sz="2400"/>
            <a:t>の値を計算</a:t>
          </a:r>
          <a:endParaRPr kumimoji="1" lang="en-US" altLang="ja-JP" sz="2400"/>
        </a:p>
        <a:p>
          <a:endParaRPr kumimoji="1" lang="en-US" altLang="ja-JP" sz="2400"/>
        </a:p>
        <a:p>
          <a:r>
            <a:rPr kumimoji="1" lang="en-US" altLang="ja-JP" sz="2400"/>
            <a:t>Function cmpFactor(Val, FactorRange As Range)</a:t>
          </a:r>
        </a:p>
        <a:p>
          <a:r>
            <a:rPr kumimoji="1" lang="en-US" altLang="ja-JP" sz="2400"/>
            <a:t>'●</a:t>
          </a:r>
          <a:r>
            <a:rPr kumimoji="1" lang="ja-JP" altLang="en-US" sz="2400"/>
            <a:t>正規分布に対応したファクタ値を計算</a:t>
          </a:r>
        </a:p>
        <a:p>
          <a:r>
            <a:rPr kumimoji="1" lang="ja-JP" altLang="en-US" sz="2400"/>
            <a:t>   </a:t>
          </a:r>
          <a:r>
            <a:rPr kumimoji="1" lang="en-US" altLang="ja-JP" sz="2400"/>
            <a:t>Dim Rnk, Prob, Norm, Cnt</a:t>
          </a:r>
        </a:p>
        <a:p>
          <a:r>
            <a:rPr kumimoji="1" lang="en-US" altLang="ja-JP" sz="2400"/>
            <a:t>   Rnk = WorksheetFunction.Rank(Val, FactorRange, 1)</a:t>
          </a:r>
        </a:p>
        <a:p>
          <a:r>
            <a:rPr kumimoji="1" lang="en-US" altLang="ja-JP" sz="2400"/>
            <a:t>   Cnt = WorksheetFunction.Count(FactorRange)</a:t>
          </a:r>
        </a:p>
        <a:p>
          <a:r>
            <a:rPr kumimoji="1" lang="en-US" altLang="ja-JP" sz="2400"/>
            <a:t>   If Rnk = Cnt Then Rnk = Rnk - 1</a:t>
          </a:r>
        </a:p>
        <a:p>
          <a:r>
            <a:rPr kumimoji="1" lang="en-US" altLang="ja-JP" sz="2400"/>
            <a:t>       </a:t>
          </a:r>
        </a:p>
        <a:p>
          <a:r>
            <a:rPr kumimoji="1" lang="en-US" altLang="ja-JP" sz="2400"/>
            <a:t>   If Application.IsNA(Rnk) Then</a:t>
          </a:r>
        </a:p>
        <a:p>
          <a:r>
            <a:rPr kumimoji="1" lang="en-US" altLang="ja-JP" sz="2400"/>
            <a:t>        Norm = 0</a:t>
          </a:r>
        </a:p>
        <a:p>
          <a:r>
            <a:rPr kumimoji="1" lang="en-US" altLang="ja-JP" sz="2400"/>
            <a:t>   Else</a:t>
          </a:r>
        </a:p>
        <a:p>
          <a:r>
            <a:rPr kumimoji="1" lang="en-US" altLang="ja-JP" sz="2400"/>
            <a:t>        Prob = Rnk / Cnt</a:t>
          </a:r>
        </a:p>
        <a:p>
          <a:r>
            <a:rPr kumimoji="1" lang="en-US" altLang="ja-JP" sz="2400"/>
            <a:t>        Norm = WorksheetFunction.NormInv(Prob, 0, 1)</a:t>
          </a:r>
        </a:p>
        <a:p>
          <a:r>
            <a:rPr kumimoji="1" lang="en-US" altLang="ja-JP" sz="2400"/>
            <a:t>        If IsError(Norm) Then Norm = 3.2</a:t>
          </a:r>
        </a:p>
        <a:p>
          <a:r>
            <a:rPr kumimoji="1" lang="en-US" altLang="ja-JP" sz="2400"/>
            <a:t>   End If</a:t>
          </a:r>
        </a:p>
        <a:p>
          <a:r>
            <a:rPr kumimoji="1" lang="en-US" altLang="ja-JP" sz="2400"/>
            <a:t>   cmpFactor = Norm</a:t>
          </a:r>
        </a:p>
        <a:p>
          <a:r>
            <a:rPr kumimoji="1" lang="en-US" altLang="ja-JP" sz="2400"/>
            <a:t>End Function</a:t>
          </a:r>
        </a:p>
        <a:p>
          <a:endParaRPr kumimoji="1" lang="en-US" altLang="ja-JP" sz="2400"/>
        </a:p>
        <a:p>
          <a:endParaRPr kumimoji="1" lang="en-US" altLang="ja-JP" sz="24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35093</xdr:colOff>
      <xdr:row>0</xdr:row>
      <xdr:rowOff>130342</xdr:rowOff>
    </xdr:from>
    <xdr:to>
      <xdr:col>9</xdr:col>
      <xdr:colOff>551448</xdr:colOff>
      <xdr:row>1</xdr:row>
      <xdr:rowOff>150394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2F126114-269F-47A9-BCAB-4B511225226D}"/>
            </a:ext>
          </a:extLst>
        </xdr:cNvPr>
        <xdr:cNvSpPr txBox="1"/>
      </xdr:nvSpPr>
      <xdr:spPr>
        <a:xfrm>
          <a:off x="5328988" y="130342"/>
          <a:ext cx="2366210" cy="26068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/>
            <a:t>数式 </a:t>
          </a:r>
          <a:r>
            <a:rPr kumimoji="1" lang="en-US" altLang="ja-JP" sz="1100"/>
            <a:t>=cmpFactor(C5,$C$5:$C$23)</a:t>
          </a:r>
          <a:endParaRPr kumimoji="1" lang="ja-JP" altLang="en-US" sz="1100"/>
        </a:p>
      </xdr:txBody>
    </xdr:sp>
    <xdr:clientData/>
  </xdr:twoCellAnchor>
  <xdr:twoCellAnchor>
    <xdr:from>
      <xdr:col>10</xdr:col>
      <xdr:colOff>857249</xdr:colOff>
      <xdr:row>0</xdr:row>
      <xdr:rowOff>120316</xdr:rowOff>
    </xdr:from>
    <xdr:to>
      <xdr:col>14</xdr:col>
      <xdr:colOff>546434</xdr:colOff>
      <xdr:row>1</xdr:row>
      <xdr:rowOff>140368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6FF7DF56-84E7-4842-8B7A-A6F045A8E282}"/>
            </a:ext>
          </a:extLst>
        </xdr:cNvPr>
        <xdr:cNvSpPr txBox="1"/>
      </xdr:nvSpPr>
      <xdr:spPr>
        <a:xfrm>
          <a:off x="8592552" y="120316"/>
          <a:ext cx="3193382" cy="26068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/>
            <a:t>合成ファクター  時価＋ </a:t>
          </a:r>
          <a:r>
            <a:rPr kumimoji="1" lang="en-US" altLang="ja-JP" sz="1100"/>
            <a:t>ROE</a:t>
          </a:r>
          <a:r>
            <a:rPr kumimoji="1" lang="ja-JP" altLang="en-US" sz="1100"/>
            <a:t> ＋ １か月リターン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A19F0F-3B42-4CDD-83AE-3382415BBA89}">
  <sheetPr codeName="Sheet2"/>
  <dimension ref="A1"/>
  <sheetViews>
    <sheetView showGridLines="0" zoomScale="115" zoomScaleNormal="115" workbookViewId="0">
      <selection activeCell="W35" sqref="W35"/>
    </sheetView>
  </sheetViews>
  <sheetFormatPr defaultRowHeight="18.75" x14ac:dyDescent="0.4"/>
  <sheetData/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5792E9-6854-48C6-8018-C1DFF77F7A56}">
  <sheetPr codeName="Sheet1"/>
  <dimension ref="A1:N42"/>
  <sheetViews>
    <sheetView showGridLines="0" tabSelected="1" zoomScale="190" zoomScaleNormal="190" workbookViewId="0">
      <selection activeCell="O14" sqref="O14"/>
    </sheetView>
  </sheetViews>
  <sheetFormatPr defaultRowHeight="18.75" x14ac:dyDescent="0.4"/>
  <cols>
    <col min="1" max="1" width="12" customWidth="1"/>
    <col min="2" max="2" width="10.875" customWidth="1"/>
    <col min="3" max="3" width="9" customWidth="1"/>
    <col min="4" max="4" width="8.875" customWidth="1"/>
    <col min="5" max="5" width="10.75" customWidth="1"/>
    <col min="8" max="8" width="13" bestFit="1" customWidth="1"/>
    <col min="9" max="9" width="11.25" bestFit="1" customWidth="1"/>
    <col min="10" max="10" width="7.75" customWidth="1"/>
    <col min="11" max="11" width="13.5" customWidth="1"/>
    <col min="13" max="13" width="14.5" customWidth="1"/>
  </cols>
  <sheetData>
    <row r="1" spans="1:14" x14ac:dyDescent="0.4">
      <c r="A1" t="s">
        <v>46</v>
      </c>
    </row>
    <row r="3" spans="1:14" x14ac:dyDescent="0.4">
      <c r="A3" t="s">
        <v>43</v>
      </c>
      <c r="G3" t="s">
        <v>47</v>
      </c>
      <c r="N3" t="s">
        <v>45</v>
      </c>
    </row>
    <row r="4" spans="1:14" x14ac:dyDescent="0.4">
      <c r="A4" s="1" t="s">
        <v>0</v>
      </c>
      <c r="B4" s="2" t="s">
        <v>1</v>
      </c>
      <c r="C4" s="15" t="s">
        <v>2</v>
      </c>
      <c r="D4" s="16" t="s">
        <v>3</v>
      </c>
      <c r="E4" s="15" t="s">
        <v>4</v>
      </c>
      <c r="G4" s="1" t="s">
        <v>0</v>
      </c>
      <c r="H4" s="2" t="s">
        <v>1</v>
      </c>
      <c r="I4" s="15" t="s">
        <v>2</v>
      </c>
      <c r="J4" s="16" t="s">
        <v>3</v>
      </c>
      <c r="K4" s="15" t="s">
        <v>4</v>
      </c>
      <c r="M4" s="15" t="s">
        <v>44</v>
      </c>
      <c r="N4" s="15" t="s">
        <v>44</v>
      </c>
    </row>
    <row r="5" spans="1:14" x14ac:dyDescent="0.4">
      <c r="A5" s="3" t="s">
        <v>5</v>
      </c>
      <c r="B5" s="4" t="s">
        <v>6</v>
      </c>
      <c r="C5" s="5">
        <v>2854.2825539999999</v>
      </c>
      <c r="D5" s="7">
        <v>10.570214136428993</v>
      </c>
      <c r="E5" s="6">
        <v>-7.0240302085876465</v>
      </c>
      <c r="G5" s="3" t="s">
        <v>5</v>
      </c>
      <c r="H5" s="4" t="s">
        <v>6</v>
      </c>
      <c r="I5" s="17" cm="1">
        <f t="array" ref="I5">cmpFactor(C5,$C$5:$C$23)</f>
        <v>-0.63364000077970095</v>
      </c>
      <c r="J5" s="17" cm="1">
        <f t="array" ref="J5">cmpFactor(D5,$D$5:$D$23)</f>
        <v>0.63364000077970106</v>
      </c>
      <c r="K5" s="17" cm="1">
        <f t="array" ref="K5">cmpFactor(E5,$E$5:$E$23)</f>
        <v>-1.6198562586382697</v>
      </c>
      <c r="M5" s="18">
        <f>+I5+J5+K5</f>
        <v>-1.6198562586382694</v>
      </c>
      <c r="N5" s="7" cm="1">
        <f t="array" ref="N5">cmpFactor(M5,$M$5:$M$23)</f>
        <v>-0.80459638036030012</v>
      </c>
    </row>
    <row r="6" spans="1:14" x14ac:dyDescent="0.4">
      <c r="A6" s="3" t="s">
        <v>7</v>
      </c>
      <c r="B6" s="4" t="s">
        <v>8</v>
      </c>
      <c r="C6" s="5">
        <v>8598.4627679999994</v>
      </c>
      <c r="D6" s="7">
        <v>-4.9212787434547103</v>
      </c>
      <c r="E6" s="6">
        <v>1.2048189640045166</v>
      </c>
      <c r="G6" s="3" t="s">
        <v>7</v>
      </c>
      <c r="H6" s="4" t="s">
        <v>8</v>
      </c>
      <c r="I6" s="17" cm="1">
        <f t="array" ref="I6">cmpFactor(C6,$C$5:$C$23)</f>
        <v>1.2521195202652196</v>
      </c>
      <c r="J6" s="17" cm="1">
        <f t="array" ref="J6">cmpFactor(D6,$D$5:$D$23)</f>
        <v>-1.6198562586382697</v>
      </c>
      <c r="K6" s="17" cm="1">
        <f t="array" ref="K6">cmpFactor(E6,$E$5:$E$23)</f>
        <v>0.336038140371823</v>
      </c>
      <c r="M6" s="18">
        <f t="shared" ref="M6:M23" si="0">+I6+J6+K6</f>
        <v>-3.1698598001227096E-2</v>
      </c>
      <c r="N6" s="7" cm="1">
        <f t="array" ref="N6">cmpFactor(M6,$M$5:$M$23)</f>
        <v>-0.33603814037182311</v>
      </c>
    </row>
    <row r="7" spans="1:14" x14ac:dyDescent="0.4">
      <c r="A7" s="3" t="s">
        <v>9</v>
      </c>
      <c r="B7" s="4" t="s">
        <v>10</v>
      </c>
      <c r="C7" s="5">
        <v>4349.8500000000004</v>
      </c>
      <c r="D7" s="7">
        <v>7.5947089230944052</v>
      </c>
      <c r="E7" s="6">
        <v>-2.9874210357666016</v>
      </c>
      <c r="G7" s="3" t="s">
        <v>9</v>
      </c>
      <c r="H7" s="4" t="s">
        <v>10</v>
      </c>
      <c r="I7" s="17" cm="1">
        <f t="array" ref="I7">cmpFactor(C7,$C$5:$C$23)</f>
        <v>0.19920132478926703</v>
      </c>
      <c r="J7" s="17" cm="1">
        <f t="array" ref="J7">cmpFactor(D7,$D$5:$D$23)</f>
        <v>-0.33603814037182311</v>
      </c>
      <c r="K7" s="17" cm="1">
        <f t="array" ref="K7">cmpFactor(E7,$E$5:$E$23)</f>
        <v>-0.47950565333095035</v>
      </c>
      <c r="M7" s="18">
        <f t="shared" si="0"/>
        <v>-0.61634246891350641</v>
      </c>
      <c r="N7" s="7" cm="1">
        <f t="array" ref="N7">cmpFactor(M7,$M$5:$M$23)</f>
        <v>-0.63364000077970095</v>
      </c>
    </row>
    <row r="8" spans="1:14" x14ac:dyDescent="0.4">
      <c r="A8" s="3" t="s">
        <v>11</v>
      </c>
      <c r="B8" s="4" t="s">
        <v>12</v>
      </c>
      <c r="C8" s="5">
        <v>8027.3468990000001</v>
      </c>
      <c r="D8" s="7">
        <v>10.07406008357823</v>
      </c>
      <c r="E8" s="6">
        <v>0.28050491213798523</v>
      </c>
      <c r="G8" s="3" t="s">
        <v>11</v>
      </c>
      <c r="H8" s="4" t="s">
        <v>12</v>
      </c>
      <c r="I8" s="17" cm="1">
        <f t="array" ref="I8">cmpFactor(C8,$C$5:$C$23)</f>
        <v>1.0031479676625328</v>
      </c>
      <c r="J8" s="17" cm="1">
        <f t="array" ref="J8">cmpFactor(D8,$D$5:$D$23)</f>
        <v>0.47950565333095035</v>
      </c>
      <c r="K8" s="17" cm="1">
        <f t="array" ref="K8">cmpFactor(E8,$E$5:$E$23)</f>
        <v>6.6011812375840584E-2</v>
      </c>
      <c r="M8" s="18">
        <f t="shared" si="0"/>
        <v>1.5486654333693237</v>
      </c>
      <c r="N8" s="7" cm="1">
        <f t="array" ref="N8">cmpFactor(M8,$M$5:$M$23)</f>
        <v>1.0031479676625328</v>
      </c>
    </row>
    <row r="9" spans="1:14" x14ac:dyDescent="0.4">
      <c r="A9" s="3" t="s">
        <v>13</v>
      </c>
      <c r="B9" s="4" t="s">
        <v>14</v>
      </c>
      <c r="C9" s="5">
        <v>6479.1566210800001</v>
      </c>
      <c r="D9" s="7">
        <v>10.960715592778941</v>
      </c>
      <c r="E9" s="6">
        <v>-5.1742339134216309</v>
      </c>
      <c r="G9" s="3" t="s">
        <v>13</v>
      </c>
      <c r="H9" s="4" t="s">
        <v>14</v>
      </c>
      <c r="I9" s="17" cm="1">
        <f t="array" ref="I9">cmpFactor(C9,$C$5:$C$23)</f>
        <v>0.47950565333095035</v>
      </c>
      <c r="J9" s="17" cm="1">
        <f t="array" ref="J9">cmpFactor(D9,$D$5:$D$23)</f>
        <v>0.80459638036030012</v>
      </c>
      <c r="K9" s="17" cm="1">
        <f t="array" ref="K9">cmpFactor(E9,$E$5:$E$23)</f>
        <v>-1.0031479676625328</v>
      </c>
      <c r="M9" s="18">
        <f t="shared" si="0"/>
        <v>0.28095406602871775</v>
      </c>
      <c r="N9" s="7" cm="1">
        <f t="array" ref="N9">cmpFactor(M9,$M$5:$M$23)</f>
        <v>6.6011812375840584E-2</v>
      </c>
    </row>
    <row r="10" spans="1:14" x14ac:dyDescent="0.4">
      <c r="A10" s="3" t="s">
        <v>15</v>
      </c>
      <c r="B10" s="4" t="s">
        <v>16</v>
      </c>
      <c r="C10" s="5">
        <v>6150.4139814</v>
      </c>
      <c r="D10" s="7">
        <v>8.4811358113772126</v>
      </c>
      <c r="E10" s="6">
        <v>-2.0100500583648682</v>
      </c>
      <c r="G10" s="3" t="s">
        <v>15</v>
      </c>
      <c r="H10" s="4" t="s">
        <v>16</v>
      </c>
      <c r="I10" s="17" cm="1">
        <f t="array" ref="I10">cmpFactor(C10,$C$5:$C$23)</f>
        <v>0.336038140371823</v>
      </c>
      <c r="J10" s="17" cm="1">
        <f t="array" ref="J10">cmpFactor(D10,$D$5:$D$23)</f>
        <v>6.6011812375840584E-2</v>
      </c>
      <c r="K10" s="17" cm="1">
        <f t="array" ref="K10">cmpFactor(E10,$E$5:$E$23)</f>
        <v>-0.33603814037182311</v>
      </c>
      <c r="M10" s="18">
        <f t="shared" si="0"/>
        <v>6.6011812375840473E-2</v>
      </c>
      <c r="N10" s="7" cm="1">
        <f t="array" ref="N10">cmpFactor(M10,$M$5:$M$23)</f>
        <v>-0.19920132478926703</v>
      </c>
    </row>
    <row r="11" spans="1:14" x14ac:dyDescent="0.4">
      <c r="A11" s="3" t="s">
        <v>17</v>
      </c>
      <c r="B11" s="4" t="s">
        <v>18</v>
      </c>
      <c r="C11" s="5">
        <v>3558.39771651</v>
      </c>
      <c r="D11" s="7">
        <v>12.06618832926369</v>
      </c>
      <c r="E11" s="6">
        <v>-1.6625100374221802</v>
      </c>
      <c r="G11" s="3" t="s">
        <v>17</v>
      </c>
      <c r="H11" s="4" t="s">
        <v>18</v>
      </c>
      <c r="I11" s="17" cm="1">
        <f t="array" ref="I11">cmpFactor(C11,$C$5:$C$23)</f>
        <v>-0.19920132478926703</v>
      </c>
      <c r="J11" s="17" cm="1">
        <f t="array" ref="J11">cmpFactor(D11,$D$5:$D$23)</f>
        <v>1.2521195202652196</v>
      </c>
      <c r="K11" s="17" cm="1">
        <f t="array" ref="K11">cmpFactor(E11,$E$5:$E$23)</f>
        <v>-0.19920132478926703</v>
      </c>
      <c r="M11" s="18">
        <f t="shared" si="0"/>
        <v>0.85371687068668556</v>
      </c>
      <c r="N11" s="7" cm="1">
        <f t="array" ref="N11">cmpFactor(M11,$M$5:$M$23)</f>
        <v>0.47950565333095035</v>
      </c>
    </row>
    <row r="12" spans="1:14" x14ac:dyDescent="0.4">
      <c r="A12" s="3" t="s">
        <v>19</v>
      </c>
      <c r="B12" s="4" t="s">
        <v>20</v>
      </c>
      <c r="C12" s="5">
        <v>7247.8739108099999</v>
      </c>
      <c r="D12" s="7">
        <v>9.5451691465006867</v>
      </c>
      <c r="E12" s="6">
        <v>3.6281180381774902</v>
      </c>
      <c r="G12" s="3" t="s">
        <v>19</v>
      </c>
      <c r="H12" s="4" t="s">
        <v>20</v>
      </c>
      <c r="I12" s="17" cm="1">
        <f t="array" ref="I12">cmpFactor(C12,$C$5:$C$23)</f>
        <v>0.80459638036030012</v>
      </c>
      <c r="J12" s="17" cm="1">
        <f t="array" ref="J12">cmpFactor(D12,$D$5:$D$23)</f>
        <v>0.336038140371823</v>
      </c>
      <c r="K12" s="17" cm="1">
        <f t="array" ref="K12">cmpFactor(E12,$E$5:$E$23)</f>
        <v>0.63364000077970106</v>
      </c>
      <c r="M12" s="18">
        <f t="shared" si="0"/>
        <v>1.7742745215118241</v>
      </c>
      <c r="N12" s="7" cm="1">
        <f t="array" ref="N12">cmpFactor(M12,$M$5:$M$23)</f>
        <v>1.2521195202652196</v>
      </c>
    </row>
    <row r="13" spans="1:14" x14ac:dyDescent="0.4">
      <c r="A13" s="3" t="s">
        <v>21</v>
      </c>
      <c r="B13" s="4" t="s">
        <v>22</v>
      </c>
      <c r="C13" s="5">
        <v>2123.0817176800001</v>
      </c>
      <c r="D13" s="7">
        <v>4.6263847271483121</v>
      </c>
      <c r="E13" s="6">
        <v>4.1139240264892578</v>
      </c>
      <c r="G13" s="3" t="s">
        <v>21</v>
      </c>
      <c r="H13" s="4" t="s">
        <v>22</v>
      </c>
      <c r="I13" s="17" cm="1">
        <f t="array" ref="I13">cmpFactor(C13,$C$5:$C$23)</f>
        <v>-1.6198562586382697</v>
      </c>
      <c r="J13" s="17" cm="1">
        <f t="array" ref="J13">cmpFactor(D13,$D$5:$D$23)</f>
        <v>-1.0031479676625328</v>
      </c>
      <c r="K13" s="17" cm="1">
        <f t="array" ref="K13">cmpFactor(E13,$E$5:$E$23)</f>
        <v>0.80459638036030012</v>
      </c>
      <c r="M13" s="18">
        <f t="shared" si="0"/>
        <v>-1.8184078459405022</v>
      </c>
      <c r="N13" s="7" cm="1">
        <f t="array" ref="N13">cmpFactor(M13,$M$5:$M$23)</f>
        <v>-1.2521195202652196</v>
      </c>
    </row>
    <row r="14" spans="1:14" x14ac:dyDescent="0.4">
      <c r="A14" s="3" t="s">
        <v>23</v>
      </c>
      <c r="B14" s="4" t="s">
        <v>24</v>
      </c>
      <c r="C14" s="5">
        <v>6526.6273112999997</v>
      </c>
      <c r="D14" s="7">
        <v>19.871061271389362</v>
      </c>
      <c r="E14" s="6">
        <v>-5.3000001907348633</v>
      </c>
      <c r="G14" s="3" t="s">
        <v>23</v>
      </c>
      <c r="H14" s="4" t="s">
        <v>24</v>
      </c>
      <c r="I14" s="17" cm="1">
        <f t="array" ref="I14">cmpFactor(C14,$C$5:$C$23)</f>
        <v>0.63364000077970106</v>
      </c>
      <c r="J14" s="17" cm="1">
        <f t="array" ref="J14">cmpFactor(D14,$D$5:$D$23)</f>
        <v>1.6198562586382692</v>
      </c>
      <c r="K14" s="17" cm="1">
        <f t="array" ref="K14">cmpFactor(E14,$E$5:$E$23)</f>
        <v>-1.2521195202652196</v>
      </c>
      <c r="M14" s="18">
        <f t="shared" si="0"/>
        <v>1.0013767391527508</v>
      </c>
      <c r="N14" s="7" cm="1">
        <f t="array" ref="N14">cmpFactor(M14,$M$5:$M$23)</f>
        <v>0.63364000077970106</v>
      </c>
    </row>
    <row r="15" spans="1:14" x14ac:dyDescent="0.4">
      <c r="A15" s="3" t="s">
        <v>25</v>
      </c>
      <c r="B15" s="4" t="s">
        <v>26</v>
      </c>
      <c r="C15" s="5">
        <v>3278.7744165600002</v>
      </c>
      <c r="D15" s="7">
        <v>7.9373442164359655</v>
      </c>
      <c r="E15" s="6">
        <v>-1.1519080400466919</v>
      </c>
      <c r="G15" s="3" t="s">
        <v>25</v>
      </c>
      <c r="H15" s="4" t="s">
        <v>26</v>
      </c>
      <c r="I15" s="17" cm="1">
        <f t="array" ref="I15">cmpFactor(C15,$C$5:$C$23)</f>
        <v>-0.47950565333095035</v>
      </c>
      <c r="J15" s="17" cm="1">
        <f t="array" ref="J15">cmpFactor(D15,$D$5:$D$23)</f>
        <v>-6.6011812375840737E-2</v>
      </c>
      <c r="K15" s="17" cm="1">
        <f t="array" ref="K15">cmpFactor(E15,$E$5:$E$23)</f>
        <v>-6.6011812375840737E-2</v>
      </c>
      <c r="M15" s="18">
        <f t="shared" si="0"/>
        <v>-0.6115292780826318</v>
      </c>
      <c r="N15" s="7" cm="1">
        <f t="array" ref="N15">cmpFactor(M15,$M$5:$M$23)</f>
        <v>-0.47950565333095035</v>
      </c>
    </row>
    <row r="16" spans="1:14" x14ac:dyDescent="0.4">
      <c r="A16" s="3" t="s">
        <v>27</v>
      </c>
      <c r="B16" s="4" t="s">
        <v>28</v>
      </c>
      <c r="C16" s="5">
        <v>2456.8594868999999</v>
      </c>
      <c r="D16" s="7">
        <v>12.647860583775802</v>
      </c>
      <c r="E16" s="6">
        <v>9.8465471267700195</v>
      </c>
      <c r="G16" s="3" t="s">
        <v>27</v>
      </c>
      <c r="H16" s="4" t="s">
        <v>28</v>
      </c>
      <c r="I16" s="17" cm="1">
        <f t="array" ref="I16">cmpFactor(C16,$C$5:$C$23)</f>
        <v>-1.0031479676625328</v>
      </c>
      <c r="J16" s="17" cm="1">
        <f t="array" ref="J16">cmpFactor(D16,$D$5:$D$23)</f>
        <v>1.6198562586382692</v>
      </c>
      <c r="K16" s="17" cm="1">
        <f t="array" ref="K16">cmpFactor(E16,$E$5:$E$23)</f>
        <v>1.6198562586382692</v>
      </c>
      <c r="M16" s="18">
        <f t="shared" si="0"/>
        <v>2.2365645496140054</v>
      </c>
      <c r="N16" s="7" cm="1">
        <f t="array" ref="N16">cmpFactor(M16,$M$5:$M$23)</f>
        <v>1.6198562586382692</v>
      </c>
    </row>
    <row r="17" spans="1:14" x14ac:dyDescent="0.4">
      <c r="A17" s="8" t="s">
        <v>29</v>
      </c>
      <c r="B17" s="9" t="s">
        <v>30</v>
      </c>
      <c r="C17" s="10">
        <v>3693.9501705600001</v>
      </c>
      <c r="D17" s="12">
        <v>5.9736674740568443</v>
      </c>
      <c r="E17" s="11">
        <v>8.3065376281738281</v>
      </c>
      <c r="G17" s="8" t="s">
        <v>29</v>
      </c>
      <c r="H17" s="9" t="s">
        <v>30</v>
      </c>
      <c r="I17" s="17" cm="1">
        <f t="array" ref="I17">cmpFactor(C17,$C$5:$C$23)</f>
        <v>6.6011812375840584E-2</v>
      </c>
      <c r="J17" s="17" cm="1">
        <f t="array" ref="J17">cmpFactor(D17,$D$5:$D$23)</f>
        <v>-0.63364000077970095</v>
      </c>
      <c r="K17" s="17" cm="1">
        <f t="array" ref="K17">cmpFactor(E17,$E$5:$E$23)</f>
        <v>1.6198562586382692</v>
      </c>
      <c r="M17" s="18">
        <f t="shared" si="0"/>
        <v>1.0522280702344089</v>
      </c>
      <c r="N17" s="7" cm="1">
        <f t="array" ref="N17">cmpFactor(M17,$M$5:$M$23)</f>
        <v>0.80459638036030012</v>
      </c>
    </row>
    <row r="18" spans="1:14" x14ac:dyDescent="0.4">
      <c r="A18" s="8" t="s">
        <v>31</v>
      </c>
      <c r="B18" s="9" t="s">
        <v>32</v>
      </c>
      <c r="C18" s="10">
        <v>20813.2815242</v>
      </c>
      <c r="D18" s="12">
        <v>7.2799445694134768</v>
      </c>
      <c r="E18" s="11">
        <v>-3.6397290229797363</v>
      </c>
      <c r="G18" s="8" t="s">
        <v>31</v>
      </c>
      <c r="H18" s="9" t="s">
        <v>32</v>
      </c>
      <c r="I18" s="17" cm="1">
        <f t="array" ref="I18">cmpFactor(C18,$C$5:$C$23)</f>
        <v>1.6198562586382692</v>
      </c>
      <c r="J18" s="17" cm="1">
        <f t="array" ref="J18">cmpFactor(D18,$D$5:$D$23)</f>
        <v>-0.47950565333095035</v>
      </c>
      <c r="K18" s="17" cm="1">
        <f t="array" ref="K18">cmpFactor(E18,$E$5:$E$23)</f>
        <v>-0.63364000077970095</v>
      </c>
      <c r="M18" s="18">
        <f t="shared" si="0"/>
        <v>0.50671060452761796</v>
      </c>
      <c r="N18" s="7" cm="1">
        <f t="array" ref="N18">cmpFactor(M18,$M$5:$M$23)</f>
        <v>0.19920132478926703</v>
      </c>
    </row>
    <row r="19" spans="1:14" x14ac:dyDescent="0.4">
      <c r="A19" s="13" t="s">
        <v>33</v>
      </c>
      <c r="B19" s="9" t="s">
        <v>34</v>
      </c>
      <c r="C19" s="10">
        <v>13683.39906801</v>
      </c>
      <c r="D19" s="12">
        <v>8.8612989077191067</v>
      </c>
      <c r="E19" s="11">
        <v>4.1156549453735352</v>
      </c>
      <c r="G19" s="13" t="s">
        <v>33</v>
      </c>
      <c r="H19" s="9" t="s">
        <v>34</v>
      </c>
      <c r="I19" s="17" cm="1">
        <f t="array" ref="I19">cmpFactor(C19,$C$5:$C$23)</f>
        <v>1.6198562586382692</v>
      </c>
      <c r="J19" s="17" cm="1">
        <f t="array" ref="J19">cmpFactor(D19,$D$5:$D$23)</f>
        <v>0.19920132478926703</v>
      </c>
      <c r="K19" s="17" cm="1">
        <f t="array" ref="K19">cmpFactor(E19,$E$5:$E$23)</f>
        <v>1.0031479676625328</v>
      </c>
      <c r="M19" s="18">
        <f t="shared" si="0"/>
        <v>2.822205551090069</v>
      </c>
      <c r="N19" s="7" cm="1">
        <f t="array" ref="N19">cmpFactor(M19,$M$5:$M$23)</f>
        <v>1.6198562586382692</v>
      </c>
    </row>
    <row r="20" spans="1:14" x14ac:dyDescent="0.4">
      <c r="A20" s="13" t="s">
        <v>35</v>
      </c>
      <c r="B20" s="9" t="s">
        <v>36</v>
      </c>
      <c r="C20" s="10">
        <v>3575.3323012000001</v>
      </c>
      <c r="D20" s="12">
        <v>4.7346627029442878</v>
      </c>
      <c r="E20" s="11">
        <v>-4.9855070114135742</v>
      </c>
      <c r="G20" s="13" t="s">
        <v>35</v>
      </c>
      <c r="H20" s="9" t="s">
        <v>36</v>
      </c>
      <c r="I20" s="17" cm="1">
        <f t="array" ref="I20">cmpFactor(C20,$C$5:$C$23)</f>
        <v>-6.6011812375840737E-2</v>
      </c>
      <c r="J20" s="17" cm="1">
        <f t="array" ref="J20">cmpFactor(D20,$D$5:$D$23)</f>
        <v>-0.80459638036030012</v>
      </c>
      <c r="K20" s="17" cm="1">
        <f t="array" ref="K20">cmpFactor(E20,$E$5:$E$23)</f>
        <v>-0.80459638036030012</v>
      </c>
      <c r="M20" s="18">
        <f t="shared" si="0"/>
        <v>-1.6752045730964409</v>
      </c>
      <c r="N20" s="7" cm="1">
        <f t="array" ref="N20">cmpFactor(M20,$M$5:$M$23)</f>
        <v>-1.0031479676625328</v>
      </c>
    </row>
    <row r="21" spans="1:14" x14ac:dyDescent="0.4">
      <c r="A21" s="8" t="s">
        <v>37</v>
      </c>
      <c r="B21" s="9" t="s">
        <v>38</v>
      </c>
      <c r="C21" s="10">
        <v>3369.4351833999999</v>
      </c>
      <c r="D21" s="12">
        <v>7.6496740242725405</v>
      </c>
      <c r="E21" s="11">
        <v>4.6469078063964844</v>
      </c>
      <c r="G21" s="8" t="s">
        <v>37</v>
      </c>
      <c r="H21" s="9" t="s">
        <v>38</v>
      </c>
      <c r="I21" s="17" cm="1">
        <f t="array" ref="I21">cmpFactor(C21,$C$5:$C$23)</f>
        <v>-0.33603814037182311</v>
      </c>
      <c r="J21" s="17" cm="1">
        <f t="array" ref="J21">cmpFactor(D21,$D$5:$D$23)</f>
        <v>-0.19920132478926703</v>
      </c>
      <c r="K21" s="17" cm="1">
        <f t="array" ref="K21">cmpFactor(E21,$E$5:$E$23)</f>
        <v>1.2521195202652196</v>
      </c>
      <c r="M21" s="18">
        <f t="shared" si="0"/>
        <v>0.71688005510412944</v>
      </c>
      <c r="N21" s="7" cm="1">
        <f t="array" ref="N21">cmpFactor(M21,$M$5:$M$23)</f>
        <v>0.336038140371823</v>
      </c>
    </row>
    <row r="22" spans="1:14" x14ac:dyDescent="0.4">
      <c r="A22" s="8" t="s">
        <v>39</v>
      </c>
      <c r="B22" s="9" t="s">
        <v>40</v>
      </c>
      <c r="C22" s="10">
        <v>2260.5922559000001</v>
      </c>
      <c r="D22" s="12">
        <v>11.176139832130225</v>
      </c>
      <c r="E22" s="11">
        <v>3.0694670677185059</v>
      </c>
      <c r="G22" s="8" t="s">
        <v>39</v>
      </c>
      <c r="H22" s="9" t="s">
        <v>40</v>
      </c>
      <c r="I22" s="17" cm="1">
        <f t="array" ref="I22">cmpFactor(C22,$C$5:$C$23)</f>
        <v>-1.2521195202652196</v>
      </c>
      <c r="J22" s="17" cm="1">
        <f t="array" ref="J22">cmpFactor(D22,$D$5:$D$23)</f>
        <v>1.0031479676625328</v>
      </c>
      <c r="K22" s="17" cm="1">
        <f t="array" ref="K22">cmpFactor(E22,$E$5:$E$23)</f>
        <v>0.47950565333095035</v>
      </c>
      <c r="M22" s="18">
        <f t="shared" si="0"/>
        <v>0.23053410072826358</v>
      </c>
      <c r="N22" s="7" cm="1">
        <f t="array" ref="N22">cmpFactor(M22,$M$5:$M$23)</f>
        <v>-6.6011812375840737E-2</v>
      </c>
    </row>
    <row r="23" spans="1:14" x14ac:dyDescent="0.4">
      <c r="A23" s="8" t="s">
        <v>41</v>
      </c>
      <c r="B23" s="9" t="s">
        <v>42</v>
      </c>
      <c r="C23" s="10">
        <v>2504.0152288200002</v>
      </c>
      <c r="D23" s="12">
        <v>1.9348492947422156</v>
      </c>
      <c r="E23" s="11">
        <v>0.625</v>
      </c>
      <c r="G23" s="8" t="s">
        <v>41</v>
      </c>
      <c r="H23" s="9" t="s">
        <v>42</v>
      </c>
      <c r="I23" s="17" cm="1">
        <f t="array" ref="I23">cmpFactor(C23,$C$5:$C$23)</f>
        <v>-0.80459638036030012</v>
      </c>
      <c r="J23" s="17" cm="1">
        <f t="array" ref="J23">cmpFactor(D23,$D$5:$D$23)</f>
        <v>-1.2521195202652196</v>
      </c>
      <c r="K23" s="17" cm="1">
        <f t="array" ref="K23">cmpFactor(E23,$E$5:$E$23)</f>
        <v>0.19920132478926703</v>
      </c>
      <c r="M23" s="18">
        <f t="shared" si="0"/>
        <v>-1.8575145758362526</v>
      </c>
      <c r="N23" s="7" cm="1">
        <f t="array" ref="N23">cmpFactor(M23,$M$5:$M$23)</f>
        <v>-1.6198562586382697</v>
      </c>
    </row>
    <row r="24" spans="1:14" ht="17.25" customHeight="1" x14ac:dyDescent="0.4">
      <c r="A24" s="8"/>
      <c r="B24" s="9"/>
      <c r="C24" s="10"/>
      <c r="D24" s="12"/>
      <c r="E24" s="11"/>
      <c r="G24" s="8"/>
      <c r="H24" s="9"/>
      <c r="I24" s="10"/>
      <c r="J24" s="12"/>
      <c r="K24" s="11"/>
    </row>
    <row r="25" spans="1:14" x14ac:dyDescent="0.4">
      <c r="A25" s="8"/>
      <c r="B25" s="9"/>
      <c r="C25" s="10"/>
      <c r="D25" s="12"/>
      <c r="E25" s="11"/>
      <c r="G25" s="8"/>
      <c r="H25" s="9"/>
      <c r="I25" s="10"/>
      <c r="J25" s="12"/>
      <c r="K25" s="11"/>
    </row>
    <row r="26" spans="1:14" x14ac:dyDescent="0.4">
      <c r="A26" s="8"/>
      <c r="B26" s="9"/>
      <c r="C26" s="10"/>
      <c r="D26" s="12"/>
      <c r="E26" s="11"/>
      <c r="G26" s="8"/>
      <c r="H26" s="9"/>
      <c r="I26" s="10"/>
      <c r="J26" s="12"/>
      <c r="K26" s="11"/>
    </row>
    <row r="27" spans="1:14" x14ac:dyDescent="0.4">
      <c r="A27" s="13"/>
      <c r="B27" s="9"/>
      <c r="C27" s="10"/>
      <c r="D27" s="12"/>
      <c r="E27" s="11"/>
      <c r="G27" s="13"/>
      <c r="H27" s="9"/>
      <c r="I27" s="10"/>
      <c r="J27" s="12"/>
      <c r="K27" s="11"/>
    </row>
    <row r="28" spans="1:14" x14ac:dyDescent="0.4">
      <c r="A28" s="8"/>
      <c r="B28" s="9"/>
      <c r="C28" s="10"/>
      <c r="D28" s="12"/>
      <c r="E28" s="11"/>
      <c r="G28" s="8"/>
      <c r="H28" s="9"/>
      <c r="I28" s="10"/>
      <c r="J28" s="12"/>
      <c r="K28" s="11"/>
    </row>
    <row r="29" spans="1:14" x14ac:dyDescent="0.4">
      <c r="A29" s="8"/>
      <c r="B29" s="9"/>
      <c r="C29" s="10"/>
      <c r="D29" s="12"/>
      <c r="E29" s="11"/>
      <c r="G29" s="8"/>
      <c r="H29" s="9"/>
      <c r="I29" s="10"/>
      <c r="J29" s="12"/>
      <c r="K29" s="11"/>
    </row>
    <row r="30" spans="1:14" x14ac:dyDescent="0.4">
      <c r="A30" s="8"/>
      <c r="B30" s="9"/>
      <c r="C30" s="10"/>
      <c r="D30" s="12"/>
      <c r="E30" s="11"/>
      <c r="G30" s="8"/>
      <c r="H30" s="9"/>
      <c r="I30" s="10"/>
      <c r="J30" s="12"/>
      <c r="K30" s="11"/>
    </row>
    <row r="31" spans="1:14" x14ac:dyDescent="0.4">
      <c r="A31" s="8"/>
      <c r="B31" s="9"/>
      <c r="C31" s="10"/>
      <c r="D31" s="12"/>
      <c r="E31" s="11"/>
      <c r="G31" s="8"/>
      <c r="H31" s="9"/>
      <c r="I31" s="10"/>
      <c r="J31" s="12"/>
      <c r="K31" s="11"/>
    </row>
    <row r="32" spans="1:14" x14ac:dyDescent="0.4">
      <c r="A32" s="8"/>
      <c r="B32" s="9"/>
      <c r="C32" s="10"/>
      <c r="D32" s="12"/>
      <c r="E32" s="11"/>
      <c r="G32" s="8"/>
      <c r="H32" s="9"/>
      <c r="I32" s="10"/>
      <c r="J32" s="12"/>
      <c r="K32" s="11"/>
    </row>
    <row r="33" spans="1:11" x14ac:dyDescent="0.4">
      <c r="A33" s="8"/>
      <c r="B33" s="9"/>
      <c r="C33" s="10"/>
      <c r="D33" s="12"/>
      <c r="E33" s="11"/>
      <c r="G33" s="8"/>
      <c r="H33" s="9"/>
      <c r="I33" s="10"/>
      <c r="J33" s="12"/>
      <c r="K33" s="11"/>
    </row>
    <row r="34" spans="1:11" x14ac:dyDescent="0.4">
      <c r="A34" s="8"/>
      <c r="B34" s="9"/>
      <c r="C34" s="10"/>
      <c r="D34" s="12"/>
      <c r="E34" s="11"/>
      <c r="G34" s="8"/>
      <c r="H34" s="9"/>
      <c r="I34" s="10"/>
      <c r="J34" s="12"/>
      <c r="K34" s="11"/>
    </row>
    <row r="35" spans="1:11" x14ac:dyDescent="0.4">
      <c r="A35" s="8"/>
      <c r="B35" s="9"/>
      <c r="C35" s="10"/>
      <c r="D35" s="12"/>
      <c r="E35" s="11"/>
      <c r="G35" s="8"/>
      <c r="H35" s="9"/>
      <c r="I35" s="10"/>
      <c r="J35" s="12"/>
      <c r="K35" s="11"/>
    </row>
    <row r="36" spans="1:11" x14ac:dyDescent="0.4">
      <c r="A36" s="8"/>
      <c r="B36" s="9"/>
      <c r="C36" s="10"/>
      <c r="D36" s="12"/>
      <c r="E36" s="11"/>
      <c r="G36" s="8"/>
      <c r="H36" s="9"/>
      <c r="I36" s="10"/>
      <c r="J36" s="12"/>
      <c r="K36" s="11"/>
    </row>
    <row r="37" spans="1:11" x14ac:dyDescent="0.4">
      <c r="A37" s="8"/>
      <c r="B37" s="9"/>
      <c r="C37" s="10"/>
      <c r="D37" s="12"/>
      <c r="E37" s="11"/>
      <c r="G37" s="8"/>
      <c r="H37" s="9"/>
      <c r="I37" s="10"/>
      <c r="J37" s="12"/>
      <c r="K37" s="11"/>
    </row>
    <row r="38" spans="1:11" x14ac:dyDescent="0.4">
      <c r="A38" s="8"/>
      <c r="B38" s="9"/>
      <c r="C38" s="10"/>
      <c r="D38" s="12"/>
      <c r="E38" s="11"/>
      <c r="G38" s="8"/>
      <c r="H38" s="9"/>
      <c r="I38" s="10"/>
      <c r="J38" s="12"/>
      <c r="K38" s="11"/>
    </row>
    <row r="39" spans="1:11" x14ac:dyDescent="0.4">
      <c r="A39" s="8"/>
      <c r="B39" s="9"/>
      <c r="C39" s="10"/>
      <c r="D39" s="12"/>
      <c r="E39" s="11"/>
      <c r="G39" s="8"/>
      <c r="H39" s="9"/>
      <c r="I39" s="10"/>
      <c r="J39" s="12"/>
      <c r="K39" s="11"/>
    </row>
    <row r="40" spans="1:11" x14ac:dyDescent="0.4">
      <c r="A40" s="8"/>
      <c r="B40" s="9"/>
      <c r="C40" s="10"/>
      <c r="D40" s="12"/>
      <c r="E40" s="11"/>
      <c r="G40" s="8"/>
      <c r="H40" s="9"/>
      <c r="I40" s="10"/>
      <c r="J40" s="12"/>
      <c r="K40" s="11"/>
    </row>
    <row r="41" spans="1:11" x14ac:dyDescent="0.4">
      <c r="A41" s="8"/>
      <c r="B41" s="9"/>
      <c r="C41" s="10"/>
      <c r="D41" s="12"/>
      <c r="E41" s="11"/>
      <c r="G41" s="8"/>
      <c r="H41" s="9"/>
      <c r="I41" s="10"/>
      <c r="J41" s="12"/>
      <c r="K41" s="11"/>
    </row>
    <row r="42" spans="1:11" x14ac:dyDescent="0.4">
      <c r="A42" s="14"/>
      <c r="B42" s="14"/>
      <c r="C42" s="14"/>
      <c r="D42" s="14"/>
      <c r="E42" s="14"/>
    </row>
  </sheetData>
  <phoneticPr fontId="1"/>
  <pageMargins left="0.7" right="0.7" top="0.75" bottom="0.75" header="0.3" footer="0.3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説明</vt:lpstr>
      <vt:lpstr>ファクターの計算例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yasumasa</dc:creator>
  <cp:lastModifiedBy>yasumasa</cp:lastModifiedBy>
  <dcterms:created xsi:type="dcterms:W3CDTF">2021-01-29T23:32:26Z</dcterms:created>
  <dcterms:modified xsi:type="dcterms:W3CDTF">2021-01-30T00:25:50Z</dcterms:modified>
</cp:coreProperties>
</file>